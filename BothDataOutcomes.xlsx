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5" windowHeight="9875" firstSheet="6" activeTab="10"/>
  </bookViews>
  <sheets>
    <sheet name="bothDataOutcomes" sheetId="1" r:id="rId1"/>
    <sheet name="Recall" sheetId="2" r:id="rId2"/>
    <sheet name="Precision" sheetId="3" r:id="rId3"/>
    <sheet name="ROC-AUC" sheetId="5" r:id="rId4"/>
    <sheet name="Sheet2" sheetId="6" r:id="rId5"/>
    <sheet name="F1-Score" sheetId="7" r:id="rId6"/>
    <sheet name="Accuracy" sheetId="9" r:id="rId7"/>
    <sheet name="Informedness" sheetId="10" r:id="rId8"/>
    <sheet name="Balance Performance" sheetId="11" r:id="rId9"/>
    <sheet name="Sheet10" sheetId="12" r:id="rId10"/>
    <sheet name="Threshold2-Recall-Specificity" sheetId="14" r:id="rId11"/>
    <sheet name="Threshold2" sheetId="13" r:id="rId12"/>
  </sheets>
  <calcPr calcId="144525"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<sst xmlns="http://schemas.openxmlformats.org/spreadsheetml/2006/main" count="1116" uniqueCount="150">
  <si>
    <t>Classifier Name</t>
  </si>
  <si>
    <t>Set Type</t>
  </si>
  <si>
    <t>Balance</t>
  </si>
  <si>
    <t>N training samples</t>
  </si>
  <si>
    <t>N non-healthy companies in training sample</t>
  </si>
  <si>
    <t>TP</t>
  </si>
  <si>
    <t>TN</t>
  </si>
  <si>
    <t>FP</t>
  </si>
  <si>
    <t>FN</t>
  </si>
  <si>
    <t>ROC-AUC</t>
  </si>
  <si>
    <t>Accuracy</t>
  </si>
  <si>
    <t>Precision</t>
  </si>
  <si>
    <t>Recall</t>
  </si>
  <si>
    <t>Specificity</t>
  </si>
  <si>
    <t>Negative Predictive Value</t>
  </si>
  <si>
    <t>Miss Rate</t>
  </si>
  <si>
    <t>Fall-Out</t>
  </si>
  <si>
    <t>False Discovery Rate</t>
  </si>
  <si>
    <t>False Omission Rate</t>
  </si>
  <si>
    <t>Positive likelihood ratio</t>
  </si>
  <si>
    <t xml:space="preserve">Negative likelihood ratio </t>
  </si>
  <si>
    <t>Prevalence Threshold</t>
  </si>
  <si>
    <t>Threat Score</t>
  </si>
  <si>
    <t>F1 Score</t>
  </si>
  <si>
    <r>
      <rPr>
        <sz val="11"/>
        <color theme="1" tint="0.0499893185216834"/>
        <rFont val="Calibri"/>
        <charset val="161"/>
      </rPr>
      <t>Phi Coefficient</t>
    </r>
    <r>
      <rPr>
        <b/>
        <sz val="13"/>
        <color indexed="30"/>
        <rFont val="Arial"/>
        <charset val="161"/>
      </rPr>
      <t> </t>
    </r>
  </si>
  <si>
    <t>Fowlkes–Mallows index</t>
  </si>
  <si>
    <t>informedness</t>
  </si>
  <si>
    <t>Markedness</t>
  </si>
  <si>
    <t>Diagnostic odds ratio</t>
  </si>
  <si>
    <t>LDA</t>
  </si>
  <si>
    <t>Train</t>
  </si>
  <si>
    <t>Balanced</t>
  </si>
  <si>
    <t>Test</t>
  </si>
  <si>
    <t>LogReg</t>
  </si>
  <si>
    <t>DTrees</t>
  </si>
  <si>
    <t>RForest</t>
  </si>
  <si>
    <t>KNN</t>
  </si>
  <si>
    <t>Naive Bayes</t>
  </si>
  <si>
    <t>SVM</t>
  </si>
  <si>
    <t>Neural Network</t>
  </si>
  <si>
    <t>Unbalanced</t>
  </si>
  <si>
    <t>Average of Recall</t>
  </si>
  <si>
    <t>Grand Total</t>
  </si>
  <si>
    <t>Average of Precision</t>
  </si>
  <si>
    <t>Average of ROC-AUC</t>
  </si>
  <si>
    <t>Average of F1 Score</t>
  </si>
  <si>
    <t>Average of Accuracy</t>
  </si>
  <si>
    <t>Average of informedness</t>
  </si>
  <si>
    <t>Values</t>
  </si>
  <si>
    <t>Average of Specificity</t>
  </si>
  <si>
    <t>0.6505376344086022</t>
  </si>
  <si>
    <t>0.6878226620227207</t>
  </si>
  <si>
    <t>0.6290322580645161</t>
  </si>
  <si>
    <t>0.684198105530419</t>
  </si>
  <si>
    <t>1.0</t>
  </si>
  <si>
    <t>0.6198691448846066</t>
  </si>
  <si>
    <t>0.700319000032551</t>
  </si>
  <si>
    <t>0.7634408602150538</t>
  </si>
  <si>
    <t>0.7357312587480875</t>
  </si>
  <si>
    <t>0.6594982078853047</t>
  </si>
  <si>
    <t>0.6979818365287588</t>
  </si>
  <si>
    <t>0.6899641577060932</t>
  </si>
  <si>
    <t>0.7048094137560627</t>
  </si>
  <si>
    <t>0.910394265232975</t>
  </si>
  <si>
    <t>0.7665277822987533</t>
  </si>
  <si>
    <t>0.6362007168458781</t>
  </si>
  <si>
    <t>0.6874776211711859</t>
  </si>
  <si>
    <t>0.6146953405017921</t>
  </si>
  <si>
    <t>0.6275528140360015</t>
  </si>
  <si>
    <t>0.7064092965723772</t>
  </si>
  <si>
    <t>0.7158507210051757</t>
  </si>
  <si>
    <t>0.7302867383512545</t>
  </si>
  <si>
    <t>0.7191562774649263</t>
  </si>
  <si>
    <t>0.6872759856630826</t>
  </si>
  <si>
    <t>0.7772565997200611</t>
  </si>
  <si>
    <t>0.6541218637992832</t>
  </si>
  <si>
    <t>0.6341037075616028</t>
  </si>
  <si>
    <t>0.9399641577060932</t>
  </si>
  <si>
    <t>0.7378503303928909</t>
  </si>
  <si>
    <t>0.6998207885304659</t>
  </si>
  <si>
    <t>0.6238533901891214</t>
  </si>
  <si>
    <t>0.6666666666666667</t>
  </si>
  <si>
    <t>0.5970443670453436</t>
  </si>
  <si>
    <t>0.6258569056996843</t>
  </si>
  <si>
    <t>0.6457260505842909</t>
  </si>
  <si>
    <t>0.7876344086021505</t>
  </si>
  <si>
    <t>0.5928404023306533</t>
  </si>
  <si>
    <t>0.7347670250896057</t>
  </si>
  <si>
    <t>0.6295221509716481</t>
  </si>
  <si>
    <t>0.732078853046595</t>
  </si>
  <si>
    <t>0.6074297711663031</t>
  </si>
  <si>
    <t>0.9811827956989247</t>
  </si>
  <si>
    <t>0.733654503434133</t>
  </si>
  <si>
    <t>0.6684587813620072</t>
  </si>
  <si>
    <t>0.6368119527359135</t>
  </si>
  <si>
    <t>0.6469534050179212</t>
  </si>
  <si>
    <t>0.6336919371114221</t>
  </si>
  <si>
    <t>0.6696608183327366</t>
  </si>
  <si>
    <t>0.7178526089645519</t>
  </si>
  <si>
    <t>0.7741935483870968</t>
  </si>
  <si>
    <t>0.7189463233618697</t>
  </si>
  <si>
    <t>0.6781192018488983</t>
  </si>
  <si>
    <t>0.6953405017921147</t>
  </si>
  <si>
    <t>0.6568259496761173</t>
  </si>
  <si>
    <t>0.9910394265232975</t>
  </si>
  <si>
    <t>0.8619299501969337</t>
  </si>
  <si>
    <t>0.5368968818436936</t>
  </si>
  <si>
    <t>0.5027148791401136</t>
  </si>
  <si>
    <t>0.5026881720430108</t>
  </si>
  <si>
    <t>0.49980894153611005</t>
  </si>
  <si>
    <t>0.5451791635337186</t>
  </si>
  <si>
    <t>0.5078734576651422</t>
  </si>
  <si>
    <t>0.5320033198976091</t>
  </si>
  <si>
    <t>0.5153647984025047</t>
  </si>
  <si>
    <t>0.5880152928946796</t>
  </si>
  <si>
    <t>0.5734650609538131</t>
  </si>
  <si>
    <t>0.5</t>
  </si>
  <si>
    <t>0.8231671741015115</t>
  </si>
  <si>
    <t>0.6073625303536431</t>
  </si>
  <si>
    <t>0.5095560047826247</t>
  </si>
  <si>
    <t>0.5192260283259581</t>
  </si>
  <si>
    <t>0.5860749195705499</t>
  </si>
  <si>
    <t>0.5588850403277166</t>
  </si>
  <si>
    <t>0.523429314531537</t>
  </si>
  <si>
    <t>0.5955066336320419</t>
  </si>
  <si>
    <t>0.602475131583813</t>
  </si>
  <si>
    <t>0.9331911694010626</t>
  </si>
  <si>
    <t>0.6367547179114228</t>
  </si>
  <si>
    <t>0.5347818851923527</t>
  </si>
  <si>
    <t>0.5167422682953887</t>
  </si>
  <si>
    <t>0.5024334274244908</t>
  </si>
  <si>
    <t>0.4996178830722201</t>
  </si>
  <si>
    <t>0.5699458873124854</t>
  </si>
  <si>
    <t>0.9973118279569892</t>
  </si>
  <si>
    <t>0.5614458400614675</t>
  </si>
  <si>
    <t>0.5063449899540227</t>
  </si>
  <si>
    <t>0.6031253466786644</t>
  </si>
  <si>
    <t>0.5788948192340405</t>
  </si>
  <si>
    <t>0.9509760416795067</t>
  </si>
  <si>
    <t>0.6722607763136811</t>
  </si>
  <si>
    <t>0.5165378562829472</t>
  </si>
  <si>
    <t>0.5299653629494496</t>
  </si>
  <si>
    <t>0.5219409074660717</t>
  </si>
  <si>
    <t>0.5080645161290323</t>
  </si>
  <si>
    <t>0.5505020934255345</t>
  </si>
  <si>
    <t>0.5399404637173815</t>
  </si>
  <si>
    <t>0.595315575168152</t>
  </si>
  <si>
    <t>0.584626573150739</t>
  </si>
  <si>
    <t>0.9836799092780455</t>
  </si>
  <si>
    <t>0.7386874899848386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</si>
</sst>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61"/>
      <scheme val="minor"/>
    </font>
    <font>
      <sz val="11"/>
      <color theme="1"/>
      <name val="Calibri"/>
      <charset val="134"/>
      <scheme val="minor"/>
    </font>
    <font>
      <sz val="11"/>
      <color theme="1" tint="0.0499893185216834"/>
      <name val="Calibri"/>
      <charset val="161"/>
    </font>
    <font>
      <b/>
      <sz val="11"/>
      <color theme="1"/>
      <name val="Calibri"/>
      <charset val="161"/>
      <scheme val="minor"/>
    </font>
    <font>
      <sz val="11"/>
      <color theme="0"/>
      <name val="Calibri"/>
      <charset val="161"/>
      <scheme val="minor"/>
    </font>
    <font>
      <u/>
      <sz val="11"/>
      <color rgb="FF0000FF"/>
      <name val="Calibri"/>
      <charset val="161"/>
      <scheme val="minor"/>
    </font>
    <font>
      <sz val="11"/>
      <color rgb="FFFA7D00"/>
      <name val="Calibri"/>
      <charset val="161"/>
      <scheme val="minor"/>
    </font>
    <font>
      <u/>
      <sz val="11"/>
      <color rgb="FF800080"/>
      <name val="Calibri"/>
      <charset val="161"/>
      <scheme val="minor"/>
    </font>
    <font>
      <b/>
      <sz val="11"/>
      <color rgb="FFFFFFFF"/>
      <name val="Calibri"/>
      <charset val="161"/>
      <scheme val="minor"/>
    </font>
    <font>
      <b/>
      <sz val="13"/>
      <color theme="3"/>
      <name val="Calibri"/>
      <charset val="161"/>
      <scheme val="minor"/>
    </font>
    <font>
      <b/>
      <sz val="18"/>
      <color theme="3"/>
      <name val="Calibri"/>
      <charset val="161"/>
      <scheme val="minor"/>
    </font>
    <font>
      <sz val="11"/>
      <color rgb="FFFF0000"/>
      <name val="Calibri"/>
      <charset val="161"/>
      <scheme val="minor"/>
    </font>
    <font>
      <i/>
      <sz val="11"/>
      <color rgb="FF7F7F7F"/>
      <name val="Calibri"/>
      <charset val="161"/>
      <scheme val="minor"/>
    </font>
    <font>
      <b/>
      <sz val="15"/>
      <color theme="3"/>
      <name val="Calibri"/>
      <charset val="161"/>
      <scheme val="minor"/>
    </font>
    <font>
      <b/>
      <sz val="11"/>
      <color theme="3"/>
      <name val="Calibri"/>
      <charset val="161"/>
      <scheme val="minor"/>
    </font>
    <font>
      <sz val="11"/>
      <color rgb="FF3F3F76"/>
      <name val="Calibri"/>
      <charset val="161"/>
      <scheme val="minor"/>
    </font>
    <font>
      <sz val="11"/>
      <color rgb="FF006100"/>
      <name val="Calibri"/>
      <charset val="161"/>
      <scheme val="minor"/>
    </font>
    <font>
      <b/>
      <sz val="11"/>
      <color rgb="FF3F3F3F"/>
      <name val="Calibri"/>
      <charset val="161"/>
      <scheme val="minor"/>
    </font>
    <font>
      <b/>
      <sz val="11"/>
      <color rgb="FFFA7D00"/>
      <name val="Calibri"/>
      <charset val="161"/>
      <scheme val="minor"/>
    </font>
    <font>
      <sz val="11"/>
      <color rgb="FF9C0006"/>
      <name val="Calibri"/>
      <charset val="161"/>
      <scheme val="minor"/>
    </font>
    <font>
      <sz val="11"/>
      <color rgb="FF9C6500"/>
      <name val="Calibri"/>
      <charset val="161"/>
      <scheme val="minor"/>
    </font>
    <font>
      <b/>
      <sz val="13"/>
      <color indexed="30"/>
      <name val="Arial"/>
      <charset val="161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0" fillId="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7" borderId="15" applyNumberFormat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0" fillId="10" borderId="17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6" borderId="19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9" borderId="20" applyNumberFormat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8" fillId="19" borderId="19" applyNumberFormat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3" fillId="0" borderId="21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66CC"/>
      <color rgb="000D0D0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[BothDataOutcomes.xlsx]Recall!PivotTable4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Recall!$B$4:$B$5</c:f>
              <c:strCache>
                <c:ptCount val="1"/>
                <c:pt idx="0">
                  <c:v>Balanced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Recall!$A$6:$A$14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Recall!$B$6:$B$14</c:f>
              <c:numCache>
                <c:formatCode>General</c:formatCode>
                <c:ptCount val="8"/>
                <c:pt idx="0">
                  <c:v>0.487903225806452</c:v>
                </c:pt>
                <c:pt idx="1">
                  <c:v>0.42741935483871</c:v>
                </c:pt>
                <c:pt idx="2">
                  <c:v>0.366935483870968</c:v>
                </c:pt>
                <c:pt idx="3">
                  <c:v>0.306451612903226</c:v>
                </c:pt>
                <c:pt idx="4">
                  <c:v>0.487903225806452</c:v>
                </c:pt>
                <c:pt idx="5">
                  <c:v>0.629032258064516</c:v>
                </c:pt>
                <c:pt idx="6">
                  <c:v>0.459677419354839</c:v>
                </c:pt>
                <c:pt idx="7">
                  <c:v>0.342741935483871</c:v>
                </c:pt>
              </c:numCache>
            </c:numRef>
          </c:val>
        </c:ser>
        <c:ser>
          <c:idx val="1"/>
          <c:order val="1"/>
          <c:tx>
            <c:strRef>
              <c:f>Recall!$C$4:$C$5</c:f>
              <c:strCache>
                <c:ptCount val="1"/>
                <c:pt idx="0">
                  <c:v>Unbalanced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Recall!$A$6:$A$14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Recall!$C$6:$C$14</c:f>
              <c:numCache>
                <c:formatCode>General</c:formatCode>
                <c:ptCount val="8"/>
                <c:pt idx="0">
                  <c:v>0.125</c:v>
                </c:pt>
                <c:pt idx="1">
                  <c:v>0.0443548387096774</c:v>
                </c:pt>
                <c:pt idx="2">
                  <c:v>0.0443548387096775</c:v>
                </c:pt>
                <c:pt idx="3">
                  <c:v>0</c:v>
                </c:pt>
                <c:pt idx="4">
                  <c:v>0.225806451612903</c:v>
                </c:pt>
                <c:pt idx="5">
                  <c:v>0.338709677419355</c:v>
                </c:pt>
                <c:pt idx="6">
                  <c:v>0.0120967741935484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7880777"/>
        <c:axId val="360870564"/>
      </c:barChart>
      <c:catAx>
        <c:axId val="8278807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0870564"/>
        <c:crosses val="autoZero"/>
        <c:auto val="1"/>
        <c:lblAlgn val="ctr"/>
        <c:lblOffset val="100"/>
        <c:noMultiLvlLbl val="0"/>
      </c:catAx>
      <c:valAx>
        <c:axId val="3608705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78807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[BothDataOutcomes.xlsx]Precision!PivotTable2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Precision!$B$3:$B$4</c:f>
              <c:strCache>
                <c:ptCount val="1"/>
                <c:pt idx="0">
                  <c:v>Balanced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Precision!$A$5:$A$13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Precision!$B$5:$B$13</c:f>
              <c:numCache>
                <c:formatCode>General</c:formatCode>
                <c:ptCount val="8"/>
                <c:pt idx="0">
                  <c:v>0.0162339974741108</c:v>
                </c:pt>
                <c:pt idx="1">
                  <c:v>0.0251843731663321</c:v>
                </c:pt>
                <c:pt idx="2">
                  <c:v>0.0369791697223241</c:v>
                </c:pt>
                <c:pt idx="3">
                  <c:v>0.0362123267242059</c:v>
                </c:pt>
                <c:pt idx="4">
                  <c:v>0.0252603406809228</c:v>
                </c:pt>
                <c:pt idx="5">
                  <c:v>0.0296315692981301</c:v>
                </c:pt>
                <c:pt idx="6">
                  <c:v>0.0405006110366771</c:v>
                </c:pt>
                <c:pt idx="7">
                  <c:v>0.0411975367025045</c:v>
                </c:pt>
              </c:numCache>
            </c:numRef>
          </c:val>
        </c:ser>
        <c:ser>
          <c:idx val="1"/>
          <c:order val="1"/>
          <c:tx>
            <c:strRef>
              <c:f>Precision!$C$3:$C$4</c:f>
              <c:strCache>
                <c:ptCount val="1"/>
                <c:pt idx="0">
                  <c:v>Unbalanced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Precision!$A$5:$A$13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Precision!$C$5:$C$13</c:f>
              <c:numCache>
                <c:formatCode>General</c:formatCode>
                <c:ptCount val="8"/>
                <c:pt idx="0">
                  <c:v>0.121077605232535</c:v>
                </c:pt>
                <c:pt idx="1">
                  <c:v>0.394047619047619</c:v>
                </c:pt>
                <c:pt idx="2">
                  <c:v>0.114839901477833</c:v>
                </c:pt>
                <c:pt idx="3">
                  <c:v>0</c:v>
                </c:pt>
                <c:pt idx="4">
                  <c:v>0.0880286162526674</c:v>
                </c:pt>
                <c:pt idx="5">
                  <c:v>0.468560980780102</c:v>
                </c:pt>
                <c:pt idx="6">
                  <c:v>0.5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940508"/>
        <c:axId val="707630778"/>
      </c:barChart>
      <c:catAx>
        <c:axId val="5429405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7630778"/>
        <c:crosses val="autoZero"/>
        <c:auto val="1"/>
        <c:lblAlgn val="ctr"/>
        <c:lblOffset val="100"/>
        <c:noMultiLvlLbl val="0"/>
      </c:catAx>
      <c:valAx>
        <c:axId val="7076307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29405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[BothDataOutcomes.xlsx]ROC-AUC!PivotTable3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'ROC-AUC'!$B$3:$B$4</c:f>
              <c:strCache>
                <c:ptCount val="1"/>
                <c:pt idx="0">
                  <c:v>Balanced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'ROC-AUC'!$A$5:$A$13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'ROC-AUC'!$B$5:$B$13</c:f>
              <c:numCache>
                <c:formatCode>General</c:formatCode>
                <c:ptCount val="8"/>
                <c:pt idx="0">
                  <c:v>0.6519990397448</c:v>
                </c:pt>
                <c:pt idx="1">
                  <c:v>0.66223389538101</c:v>
                </c:pt>
                <c:pt idx="2">
                  <c:v>0.65339710621399</c:v>
                </c:pt>
                <c:pt idx="3">
                  <c:v>0.627506835714983</c:v>
                </c:pt>
                <c:pt idx="4">
                  <c:v>0.685197828846717</c:v>
                </c:pt>
                <c:pt idx="5">
                  <c:v>0.749026724390482</c:v>
                </c:pt>
                <c:pt idx="6">
                  <c:v>0.695479476579538</c:v>
                </c:pt>
                <c:pt idx="7">
                  <c:v>0.646421421828716</c:v>
                </c:pt>
              </c:numCache>
            </c:numRef>
          </c:val>
        </c:ser>
        <c:ser>
          <c:idx val="1"/>
          <c:order val="1"/>
          <c:tx>
            <c:strRef>
              <c:f>'ROC-AUC'!$C$3:$C$4</c:f>
              <c:strCache>
                <c:ptCount val="1"/>
                <c:pt idx="0">
                  <c:v>Unbalanced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'ROC-AUC'!$A$5:$A$13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'ROC-AUC'!$C$5:$C$13</c:f>
              <c:numCache>
                <c:formatCode>General</c:formatCode>
                <c:ptCount val="8"/>
                <c:pt idx="0">
                  <c:v>0.551896255254107</c:v>
                </c:pt>
                <c:pt idx="1">
                  <c:v>0.521269891651361</c:v>
                </c:pt>
                <c:pt idx="2">
                  <c:v>0.517162134677727</c:v>
                </c:pt>
                <c:pt idx="3">
                  <c:v>0.499856706152083</c:v>
                </c:pt>
                <c:pt idx="4">
                  <c:v>0.584865396230601</c:v>
                </c:pt>
                <c:pt idx="5">
                  <c:v>0.66519931712007</c:v>
                </c:pt>
                <c:pt idx="6">
                  <c:v>0.505952857864829</c:v>
                </c:pt>
                <c:pt idx="7">
                  <c:v>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267895"/>
        <c:axId val="655166694"/>
      </c:barChart>
      <c:catAx>
        <c:axId val="392267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166694"/>
        <c:crosses val="autoZero"/>
        <c:auto val="1"/>
        <c:lblAlgn val="ctr"/>
        <c:lblOffset val="100"/>
        <c:noMultiLvlLbl val="0"/>
      </c:catAx>
      <c:valAx>
        <c:axId val="6551666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267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[BothDataOutcomes.xlsx]Sheet2!PivotTable1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Sheet2!$B$5:$B$13</c:f>
              <c:numCache>
                <c:formatCode>General</c:formatCode>
                <c:ptCount val="8"/>
                <c:pt idx="0">
                  <c:v>0.601947647499453</c:v>
                </c:pt>
                <c:pt idx="1">
                  <c:v>0.591751893516185</c:v>
                </c:pt>
                <c:pt idx="2">
                  <c:v>0.585279620445859</c:v>
                </c:pt>
                <c:pt idx="3">
                  <c:v>0.563681770933533</c:v>
                </c:pt>
                <c:pt idx="4">
                  <c:v>0.635031612538659</c:v>
                </c:pt>
                <c:pt idx="5">
                  <c:v>0.707113020755276</c:v>
                </c:pt>
                <c:pt idx="6">
                  <c:v>0.600716167222184</c:v>
                </c:pt>
                <c:pt idx="7">
                  <c:v>0.573210710914358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Sheet2!$C$5:$C$13</c:f>
              <c:numCache>
                <c:formatCode>General</c:formatCode>
                <c:ptCount val="8"/>
                <c:pt idx="0">
                  <c:v>1</c:v>
                </c:pt>
                <c:pt idx="1">
                  <c:v>0.658979088685367</c:v>
                </c:pt>
                <c:pt idx="2">
                  <c:v>0.59051458926539</c:v>
                </c:pt>
                <c:pt idx="3">
                  <c:v>0.568180522514083</c:v>
                </c:pt>
                <c:pt idx="4">
                  <c:v>0.641271341709774</c:v>
                </c:pt>
                <c:pt idx="5">
                  <c:v>0.926702885599122</c:v>
                </c:pt>
                <c:pt idx="6">
                  <c:v>0.999663978494624</c:v>
                </c:pt>
                <c:pt idx="7">
                  <c:v>0.59744623655914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1188"/>
        <c:axId val="29637715"/>
      </c:barChart>
      <c:catAx>
        <c:axId val="157111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637715"/>
        <c:crosses val="autoZero"/>
        <c:auto val="1"/>
        <c:lblAlgn val="ctr"/>
        <c:lblOffset val="100"/>
        <c:noMultiLvlLbl val="0"/>
      </c:catAx>
      <c:valAx>
        <c:axId val="296377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11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[BothDataOutcomes.xlsx]F1-Score!PivotTable1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'F1-Score'!$B$3:$B$4</c:f>
              <c:strCache>
                <c:ptCount val="1"/>
                <c:pt idx="0">
                  <c:v>Balanced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'F1-Score'!$A$5:$A$13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'F1-Score'!$B$5:$B$13</c:f>
              <c:numCache>
                <c:formatCode>General</c:formatCode>
                <c:ptCount val="8"/>
                <c:pt idx="0">
                  <c:v>0.0314187389707727</c:v>
                </c:pt>
                <c:pt idx="1">
                  <c:v>0.0475611063904533</c:v>
                </c:pt>
                <c:pt idx="2">
                  <c:v>0.0671724520364091</c:v>
                </c:pt>
                <c:pt idx="3">
                  <c:v>0.0647089373322327</c:v>
                </c:pt>
                <c:pt idx="4">
                  <c:v>0.0480274499997817</c:v>
                </c:pt>
                <c:pt idx="5">
                  <c:v>0.0565555467739307</c:v>
                </c:pt>
                <c:pt idx="6">
                  <c:v>0.0744235824438461</c:v>
                </c:pt>
                <c:pt idx="7">
                  <c:v>0.0735467919954751</c:v>
                </c:pt>
              </c:numCache>
            </c:numRef>
          </c:val>
        </c:ser>
        <c:ser>
          <c:idx val="1"/>
          <c:order val="1"/>
          <c:tx>
            <c:strRef>
              <c:f>'F1-Score'!$C$3:$C$4</c:f>
              <c:strCache>
                <c:ptCount val="1"/>
                <c:pt idx="0">
                  <c:v>Unbalanced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'F1-Score'!$A$5:$A$13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'F1-Score'!$C$5:$C$13</c:f>
              <c:numCache>
                <c:formatCode>General</c:formatCode>
                <c:ptCount val="8"/>
                <c:pt idx="0">
                  <c:v>0.122756389344254</c:v>
                </c:pt>
                <c:pt idx="1">
                  <c:v>0.0796213412901392</c:v>
                </c:pt>
                <c:pt idx="2">
                  <c:v>0.0620421245421247</c:v>
                </c:pt>
                <c:pt idx="3">
                  <c:v>0</c:v>
                </c:pt>
                <c:pt idx="4">
                  <c:v>0.126287659463074</c:v>
                </c:pt>
                <c:pt idx="5">
                  <c:v>0.377720117626708</c:v>
                </c:pt>
                <c:pt idx="6">
                  <c:v>0.0235615079365079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747838"/>
        <c:axId val="355685853"/>
      </c:barChart>
      <c:catAx>
        <c:axId val="7807478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5685853"/>
        <c:crosses val="autoZero"/>
        <c:auto val="1"/>
        <c:lblAlgn val="ctr"/>
        <c:lblOffset val="100"/>
        <c:noMultiLvlLbl val="0"/>
      </c:catAx>
      <c:valAx>
        <c:axId val="3556858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7478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[BothDataOutcomes.xlsx]Accuracy!PivotTable2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Accuracy!$B$3:$B$4</c:f>
              <c:strCache>
                <c:ptCount val="1"/>
                <c:pt idx="0">
                  <c:v>Balanced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Accuracy!$A$5:$A$13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Accuracy!$B$5:$B$13</c:f>
              <c:numCache>
                <c:formatCode>General</c:formatCode>
                <c:ptCount val="8"/>
                <c:pt idx="0">
                  <c:v>0.814054352186121</c:v>
                </c:pt>
                <c:pt idx="1">
                  <c:v>0.89412855996791</c:v>
                </c:pt>
                <c:pt idx="2">
                  <c:v>0.936296630565584</c:v>
                </c:pt>
                <c:pt idx="3">
                  <c:v>0.944569795427196</c:v>
                </c:pt>
                <c:pt idx="4">
                  <c:v>0.880039109506619</c:v>
                </c:pt>
                <c:pt idx="5">
                  <c:v>0.867529081427999</c:v>
                </c:pt>
                <c:pt idx="6">
                  <c:v>0.928349378259126</c:v>
                </c:pt>
                <c:pt idx="7">
                  <c:v>0.94632470918572</c:v>
                </c:pt>
              </c:numCache>
            </c:numRef>
          </c:val>
        </c:ser>
        <c:ser>
          <c:idx val="1"/>
          <c:order val="1"/>
          <c:tx>
            <c:strRef>
              <c:f>Accuracy!$C$3:$C$4</c:f>
              <c:strCache>
                <c:ptCount val="1"/>
                <c:pt idx="0">
                  <c:v>Unbalanced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Accuracy!$A$5:$A$13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Accuracy!$C$5:$C$13</c:f>
              <c:numCache>
                <c:formatCode>General</c:formatCode>
                <c:ptCount val="8"/>
                <c:pt idx="0">
                  <c:v>0.959033221351251</c:v>
                </c:pt>
                <c:pt idx="1">
                  <c:v>0.976110488988429</c:v>
                </c:pt>
                <c:pt idx="2">
                  <c:v>0.968085106382979</c:v>
                </c:pt>
                <c:pt idx="3">
                  <c:v>0.976577081000373</c:v>
                </c:pt>
                <c:pt idx="4">
                  <c:v>0.927304964539007</c:v>
                </c:pt>
                <c:pt idx="5">
                  <c:v>0.976577081000373</c:v>
                </c:pt>
                <c:pt idx="6">
                  <c:v>0.976950354609929</c:v>
                </c:pt>
                <c:pt idx="7">
                  <c:v>0.97685703620754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48695"/>
        <c:axId val="349594752"/>
      </c:barChart>
      <c:catAx>
        <c:axId val="774148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9594752"/>
        <c:crosses val="autoZero"/>
        <c:auto val="1"/>
        <c:lblAlgn val="ctr"/>
        <c:lblOffset val="100"/>
        <c:noMultiLvlLbl val="0"/>
      </c:catAx>
      <c:valAx>
        <c:axId val="34959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4148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[BothDataOutcomes.xlsx]Informedness!PivotTable3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Informedness!$B$3:$B$4</c:f>
              <c:strCache>
                <c:ptCount val="1"/>
                <c:pt idx="0">
                  <c:v>Balanced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Informedness!$A$5:$A$13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Informedness!$B$5:$B$13</c:f>
              <c:numCache>
                <c:formatCode>General</c:formatCode>
                <c:ptCount val="8"/>
                <c:pt idx="0">
                  <c:v>0.483999876085903</c:v>
                </c:pt>
                <c:pt idx="1">
                  <c:v>0.423444262951417</c:v>
                </c:pt>
                <c:pt idx="2">
                  <c:v>0.362738546820819</c:v>
                </c:pt>
                <c:pt idx="3">
                  <c:v>0.30189824960235</c:v>
                </c:pt>
                <c:pt idx="4">
                  <c:v>0.484288226536138</c:v>
                </c:pt>
                <c:pt idx="5">
                  <c:v>0.626368629139921</c:v>
                </c:pt>
                <c:pt idx="6">
                  <c:v>0.456059473485997</c:v>
                </c:pt>
                <c:pt idx="7">
                  <c:v>0.338432740370964</c:v>
                </c:pt>
              </c:numCache>
            </c:numRef>
          </c:val>
        </c:ser>
        <c:ser>
          <c:idx val="1"/>
          <c:order val="1"/>
          <c:tx>
            <c:strRef>
              <c:f>Informedness!$C$3:$C$4</c:f>
              <c:strCache>
                <c:ptCount val="1"/>
                <c:pt idx="0">
                  <c:v>Unbalanced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Informedness!$A$5:$A$13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Informedness!$C$5:$C$13</c:f>
              <c:numCache>
                <c:formatCode>General</c:formatCode>
                <c:ptCount val="8"/>
                <c:pt idx="0">
                  <c:v>0.104261569774023</c:v>
                </c:pt>
                <c:pt idx="1">
                  <c:v>0.0221761225498246</c:v>
                </c:pt>
                <c:pt idx="2">
                  <c:v>0.0219956196992872</c:v>
                </c:pt>
                <c:pt idx="3">
                  <c:v>-0.0231494468191216</c:v>
                </c:pt>
                <c:pt idx="4">
                  <c:v>0.206745929429025</c:v>
                </c:pt>
                <c:pt idx="5">
                  <c:v>0.323182750094414</c:v>
                </c:pt>
                <c:pt idx="6">
                  <c:v>-0.0107768656906255</c:v>
                </c:pt>
                <c:pt idx="7">
                  <c:v>-0.0231429637924598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301688"/>
        <c:axId val="178528097"/>
      </c:barChart>
      <c:catAx>
        <c:axId val="500301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528097"/>
        <c:crosses val="autoZero"/>
        <c:auto val="1"/>
        <c:lblAlgn val="ctr"/>
        <c:lblOffset val="100"/>
        <c:noMultiLvlLbl val="0"/>
      </c:catAx>
      <c:valAx>
        <c:axId val="1785280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30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[BothDataOutcomes.xlsx]Balance Performance!PivotTable4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Performance'!$B$3:$B$4</c:f>
              <c:strCache>
                <c:ptCount val="1"/>
                <c:pt idx="0">
                  <c:v>Average of Recall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'Balance Performance'!$A$5:$A$7</c:f>
              <c:strCache>
                <c:ptCount val="2"/>
                <c:pt idx="0">
                  <c:v>Balanced</c:v>
                </c:pt>
                <c:pt idx="1">
                  <c:v>Unbalanced</c:v>
                </c:pt>
              </c:strCache>
            </c:strRef>
          </c:cat>
          <c:val>
            <c:numRef>
              <c:f>'Balance Performance'!$B$5:$B$7</c:f>
              <c:numCache>
                <c:formatCode>General</c:formatCode>
                <c:ptCount val="2"/>
                <c:pt idx="0">
                  <c:v>0.438508064516129</c:v>
                </c:pt>
                <c:pt idx="1">
                  <c:v>0.0987903225806451</c:v>
                </c:pt>
              </c:numCache>
            </c:numRef>
          </c:val>
        </c:ser>
        <c:ser>
          <c:idx val="1"/>
          <c:order val="1"/>
          <c:tx>
            <c:strRef>
              <c:f>'Balance Performance'!$C$3:$C$4</c:f>
              <c:strCache>
                <c:ptCount val="1"/>
                <c:pt idx="0">
                  <c:v>Average of Specificity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'Balance Performance'!$A$5:$A$7</c:f>
              <c:strCache>
                <c:ptCount val="2"/>
                <c:pt idx="0">
                  <c:v>Balanced</c:v>
                </c:pt>
                <c:pt idx="1">
                  <c:v>Unbalanced</c:v>
                </c:pt>
              </c:strCache>
            </c:strRef>
          </c:cat>
          <c:val>
            <c:numRef>
              <c:f>'Balance Performance'!$C$5:$C$7</c:f>
              <c:numCache>
                <c:formatCode>General</c:formatCode>
                <c:ptCount val="2"/>
                <c:pt idx="0">
                  <c:v>0.996145686108059</c:v>
                </c:pt>
                <c:pt idx="1">
                  <c:v>0.978871266824901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510000"/>
        <c:axId val="496019258"/>
      </c:barChart>
      <c:catAx>
        <c:axId val="77451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019258"/>
        <c:crosses val="autoZero"/>
        <c:auto val="1"/>
        <c:lblAlgn val="ctr"/>
        <c:lblOffset val="100"/>
        <c:noMultiLvlLbl val="0"/>
      </c:catAx>
      <c:valAx>
        <c:axId val="4960192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451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[BothDataOutcomes.xlsx]Sheet10!PivotTable5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Sheet10!$B$3:$B$4</c:f>
              <c:strCache>
                <c:ptCount val="1"/>
                <c:pt idx="0">
                  <c:v>DTrees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Sheet10!$A$5:$A$7</c:f>
              <c:strCache>
                <c:ptCount val="2"/>
                <c:pt idx="0">
                  <c:v>Test</c:v>
                </c:pt>
                <c:pt idx="1">
                  <c:v>Train</c:v>
                </c:pt>
              </c:strCache>
            </c:strRef>
          </c:cat>
          <c:val>
            <c:numRef>
              <c:f>Sheet10!$B$5:$B$7</c:f>
              <c:numCache>
                <c:formatCode>General</c:formatCode>
                <c:ptCount val="2"/>
                <c:pt idx="0">
                  <c:v>0.125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Sheet10!$C$3:$C$4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Sheet10!$A$5:$A$7</c:f>
              <c:strCache>
                <c:ptCount val="2"/>
                <c:pt idx="0">
                  <c:v>Test</c:v>
                </c:pt>
                <c:pt idx="1">
                  <c:v>Train</c:v>
                </c:pt>
              </c:strCache>
            </c:strRef>
          </c:cat>
          <c:val>
            <c:numRef>
              <c:f>Sheet10!$C$5:$C$7</c:f>
              <c:numCache>
                <c:formatCode>General</c:formatCode>
                <c:ptCount val="2"/>
                <c:pt idx="0">
                  <c:v>0.0443548387096774</c:v>
                </c:pt>
                <c:pt idx="1">
                  <c:v>0.102150537634409</c:v>
                </c:pt>
              </c:numCache>
            </c:numRef>
          </c:val>
        </c:ser>
        <c:ser>
          <c:idx val="2"/>
          <c:order val="2"/>
          <c:tx>
            <c:strRef>
              <c:f>Sheet10!$D$3:$D$4</c:f>
              <c:strCache>
                <c:ptCount val="1"/>
                <c:pt idx="0">
                  <c:v>LDA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Sheet10!$A$5:$A$7</c:f>
              <c:strCache>
                <c:ptCount val="2"/>
                <c:pt idx="0">
                  <c:v>Test</c:v>
                </c:pt>
                <c:pt idx="1">
                  <c:v>Train</c:v>
                </c:pt>
              </c:strCache>
            </c:strRef>
          </c:cat>
          <c:val>
            <c:numRef>
              <c:f>Sheet10!$D$5:$D$7</c:f>
              <c:numCache>
                <c:formatCode>General</c:formatCode>
                <c:ptCount val="2"/>
                <c:pt idx="0">
                  <c:v>0.0443548387096775</c:v>
                </c:pt>
                <c:pt idx="1">
                  <c:v>0.0591397849462366</c:v>
                </c:pt>
              </c:numCache>
            </c:numRef>
          </c:val>
        </c:ser>
        <c:ser>
          <c:idx val="3"/>
          <c:order val="3"/>
          <c:tx>
            <c:strRef>
              <c:f>Sheet10!$E$3:$E$4</c:f>
              <c:strCache>
                <c:ptCount val="1"/>
                <c:pt idx="0">
                  <c:v>LogReg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Sheet10!$A$5:$A$7</c:f>
              <c:strCache>
                <c:ptCount val="2"/>
                <c:pt idx="0">
                  <c:v>Test</c:v>
                </c:pt>
                <c:pt idx="1">
                  <c:v>Train</c:v>
                </c:pt>
              </c:strCache>
            </c:strRef>
          </c:cat>
          <c:val>
            <c:numRef>
              <c:f>Sheet10!$E$5:$E$7</c:f>
              <c:numCache>
                <c:formatCode>General</c:formatCode>
                <c:ptCount val="2"/>
                <c:pt idx="0">
                  <c:v>0</c:v>
                </c:pt>
                <c:pt idx="1">
                  <c:v>0.00403225806451613</c:v>
                </c:pt>
              </c:numCache>
            </c:numRef>
          </c:val>
        </c:ser>
        <c:ser>
          <c:idx val="4"/>
          <c:order val="4"/>
          <c:tx>
            <c:strRef>
              <c:f>Sheet10!$F$3:$F$4</c:f>
              <c:strCache>
                <c:ptCount val="1"/>
                <c:pt idx="0">
                  <c:v>Naive Bayes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Sheet10!$A$5:$A$7</c:f>
              <c:strCache>
                <c:ptCount val="2"/>
                <c:pt idx="0">
                  <c:v>Test</c:v>
                </c:pt>
                <c:pt idx="1">
                  <c:v>Train</c:v>
                </c:pt>
              </c:strCache>
            </c:strRef>
          </c:cat>
          <c:val>
            <c:numRef>
              <c:f>Sheet10!$F$5:$F$7</c:f>
              <c:numCache>
                <c:formatCode>General</c:formatCode>
                <c:ptCount val="2"/>
                <c:pt idx="0">
                  <c:v>0.225806451612903</c:v>
                </c:pt>
                <c:pt idx="1">
                  <c:v>0.247311827956989</c:v>
                </c:pt>
              </c:numCache>
            </c:numRef>
          </c:val>
        </c:ser>
        <c:ser>
          <c:idx val="5"/>
          <c:order val="5"/>
          <c:tx>
            <c:strRef>
              <c:f>Sheet10!$G$3:$G$4</c:f>
              <c:strCache>
                <c:ptCount val="1"/>
                <c:pt idx="0">
                  <c:v>Neural Network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Sheet10!$A$5:$A$7</c:f>
              <c:strCache>
                <c:ptCount val="2"/>
                <c:pt idx="0">
                  <c:v>Test</c:v>
                </c:pt>
                <c:pt idx="1">
                  <c:v>Train</c:v>
                </c:pt>
              </c:strCache>
            </c:strRef>
          </c:cat>
          <c:val>
            <c:numRef>
              <c:f>Sheet10!$G$5:$G$7</c:f>
              <c:numCache>
                <c:formatCode>General</c:formatCode>
                <c:ptCount val="2"/>
                <c:pt idx="0">
                  <c:v>0.338709677419355</c:v>
                </c:pt>
                <c:pt idx="1">
                  <c:v>0.801075268817205</c:v>
                </c:pt>
              </c:numCache>
            </c:numRef>
          </c:val>
        </c:ser>
        <c:ser>
          <c:idx val="6"/>
          <c:order val="6"/>
          <c:tx>
            <c:strRef>
              <c:f>Sheet10!$H$3:$H$4</c:f>
              <c:strCache>
                <c:ptCount val="1"/>
                <c:pt idx="0">
                  <c:v>RForest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Sheet10!$A$5:$A$7</c:f>
              <c:strCache>
                <c:ptCount val="2"/>
                <c:pt idx="0">
                  <c:v>Test</c:v>
                </c:pt>
                <c:pt idx="1">
                  <c:v>Train</c:v>
                </c:pt>
              </c:strCache>
            </c:strRef>
          </c:cat>
          <c:val>
            <c:numRef>
              <c:f>Sheet10!$H$5:$H$7</c:f>
              <c:numCache>
                <c:formatCode>General</c:formatCode>
                <c:ptCount val="2"/>
                <c:pt idx="0">
                  <c:v>0.0120967741935484</c:v>
                </c:pt>
                <c:pt idx="1">
                  <c:v>0.998655913978495</c:v>
                </c:pt>
              </c:numCache>
            </c:numRef>
          </c:val>
        </c:ser>
        <c:ser>
          <c:idx val="7"/>
          <c:order val="7"/>
          <c:tx>
            <c:strRef>
              <c:f>Sheet10!$I$3:$I$4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Sheet10!$A$5:$A$7</c:f>
              <c:strCache>
                <c:ptCount val="2"/>
                <c:pt idx="0">
                  <c:v>Test</c:v>
                </c:pt>
                <c:pt idx="1">
                  <c:v>Train</c:v>
                </c:pt>
              </c:strCache>
            </c:strRef>
          </c:cat>
          <c:val>
            <c:numRef>
              <c:f>Sheet10!$I$5:$I$7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63665"/>
        <c:axId val="987084604"/>
      </c:barChart>
      <c:catAx>
        <c:axId val="1071636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084604"/>
        <c:crosses val="autoZero"/>
        <c:auto val="1"/>
        <c:lblAlgn val="ctr"/>
        <c:lblOffset val="100"/>
        <c:noMultiLvlLbl val="0"/>
      </c:catAx>
      <c:valAx>
        <c:axId val="9870846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1636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[BothDataOutcomes.xlsx]Threshold2-Recall-Specificity!PivotTable1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'Threshold2-Recall-Specificity'!$B$3:$B$4</c:f>
              <c:strCache>
                <c:ptCount val="1"/>
                <c:pt idx="0">
                  <c:v>Balanced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'Threshold2-Recall-Specificity'!$A$5:$A$13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'Threshold2-Recall-Specificity'!$B$5:$B$13</c:f>
              <c:numCache>
                <c:formatCode>General</c:formatCode>
                <c:ptCount val="8"/>
                <c:pt idx="0">
                  <c:v>0.5</c:v>
                </c:pt>
                <c:pt idx="1">
                  <c:v>0.487903225806452</c:v>
                </c:pt>
                <c:pt idx="2">
                  <c:v>0.379032258064516</c:v>
                </c:pt>
                <c:pt idx="3">
                  <c:v>0.32258064516129</c:v>
                </c:pt>
                <c:pt idx="4">
                  <c:v>0.508064516129032</c:v>
                </c:pt>
                <c:pt idx="5">
                  <c:v>0.693548387096774</c:v>
                </c:pt>
                <c:pt idx="6">
                  <c:v>0.459677419354839</c:v>
                </c:pt>
                <c:pt idx="7">
                  <c:v>0.35483870967742</c:v>
                </c:pt>
              </c:numCache>
            </c:numRef>
          </c:val>
        </c:ser>
        <c:ser>
          <c:idx val="1"/>
          <c:order val="1"/>
          <c:tx>
            <c:strRef>
              <c:f>'Threshold2-Recall-Specificity'!$C$3:$C$4</c:f>
              <c:strCache>
                <c:ptCount val="1"/>
                <c:pt idx="0">
                  <c:v>Unbalanced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'Threshold2-Recall-Specificity'!$A$5:$A$13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'Threshold2-Recall-Specificity'!$C$5:$C$13</c:f>
              <c:numCache>
                <c:formatCode>General</c:formatCode>
                <c:ptCount val="8"/>
                <c:pt idx="0">
                  <c:v>0.133064516129032</c:v>
                </c:pt>
                <c:pt idx="1">
                  <c:v>0.0443548387096774</c:v>
                </c:pt>
                <c:pt idx="2">
                  <c:v>0.0443548387096775</c:v>
                </c:pt>
                <c:pt idx="3">
                  <c:v>0</c:v>
                </c:pt>
                <c:pt idx="4">
                  <c:v>0.225806451612903</c:v>
                </c:pt>
                <c:pt idx="5">
                  <c:v>0.338709677419355</c:v>
                </c:pt>
                <c:pt idx="6">
                  <c:v>0.0120967741935484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174083"/>
        <c:axId val="313469726"/>
      </c:barChart>
      <c:catAx>
        <c:axId val="6311740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3469726"/>
        <c:crosses val="autoZero"/>
        <c:auto val="1"/>
        <c:lblAlgn val="ctr"/>
        <c:lblOffset val="100"/>
        <c:noMultiLvlLbl val="0"/>
      </c:catAx>
      <c:valAx>
        <c:axId val="3134697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11740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[BothDataOutcomes.xlsx]Threshold2-Recall-Specificity!PivotTable3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'Threshold2-Recall-Specificity'!$H$20:$H$21</c:f>
              <c:strCache>
                <c:ptCount val="1"/>
                <c:pt idx="0">
                  <c:v>Balanced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'Threshold2-Recall-Specificity'!$G$22:$G$30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'Threshold2-Recall-Specificity'!$H$22:$H$30</c:f>
              <c:numCache>
                <c:formatCode>General</c:formatCode>
                <c:ptCount val="8"/>
                <c:pt idx="0">
                  <c:v>0.996156767113041</c:v>
                </c:pt>
                <c:pt idx="1">
                  <c:v>0.996435843082283</c:v>
                </c:pt>
                <c:pt idx="2">
                  <c:v>0.995876095718917</c:v>
                </c:pt>
                <c:pt idx="3">
                  <c:v>0.995551406015855</c:v>
                </c:pt>
                <c:pt idx="4">
                  <c:v>0.996528204506102</c:v>
                </c:pt>
                <c:pt idx="5">
                  <c:v>0.997776802629413</c:v>
                </c:pt>
                <c:pt idx="6">
                  <c:v>0.996377399401442</c:v>
                </c:pt>
                <c:pt idx="7">
                  <c:v>0.995756056053233</c:v>
                </c:pt>
              </c:numCache>
            </c:numRef>
          </c:val>
        </c:ser>
        <c:ser>
          <c:idx val="1"/>
          <c:order val="1"/>
          <c:tx>
            <c:strRef>
              <c:f>'Threshold2-Recall-Specificity'!$I$20:$I$21</c:f>
              <c:strCache>
                <c:ptCount val="1"/>
                <c:pt idx="0">
                  <c:v>Unbalanced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'Threshold2-Recall-Specificity'!$G$22:$G$30</c:f>
              <c:strCache>
                <c:ptCount val="8"/>
                <c:pt idx="0">
                  <c:v>DTrees</c:v>
                </c:pt>
                <c:pt idx="1">
                  <c:v>KNN</c:v>
                </c:pt>
                <c:pt idx="2">
                  <c:v>LDA</c:v>
                </c:pt>
                <c:pt idx="3">
                  <c:v>LogReg</c:v>
                </c:pt>
                <c:pt idx="4">
                  <c:v>Naive Bayes</c:v>
                </c:pt>
                <c:pt idx="5">
                  <c:v>Neural Network</c:v>
                </c:pt>
                <c:pt idx="6">
                  <c:v>RForest</c:v>
                </c:pt>
                <c:pt idx="7">
                  <c:v>SVM</c:v>
                </c:pt>
              </c:strCache>
            </c:strRef>
          </c:cat>
          <c:val>
            <c:numRef>
              <c:f>'Threshold2-Recall-Specificity'!$I$22:$I$30</c:f>
              <c:numCache>
                <c:formatCode>General</c:formatCode>
                <c:ptCount val="8"/>
                <c:pt idx="0">
                  <c:v>0.979443047470838</c:v>
                </c:pt>
                <c:pt idx="1">
                  <c:v>0.977821283840147</c:v>
                </c:pt>
                <c:pt idx="2">
                  <c:v>0.97764078098961</c:v>
                </c:pt>
                <c:pt idx="3">
                  <c:v>0.976850553180878</c:v>
                </c:pt>
                <c:pt idx="4">
                  <c:v>0.980939477816122</c:v>
                </c:pt>
                <c:pt idx="5">
                  <c:v>0.98440256669923</c:v>
                </c:pt>
                <c:pt idx="6">
                  <c:v>0.977126360115826</c:v>
                </c:pt>
                <c:pt idx="7">
                  <c:v>0.97685703620754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744631"/>
        <c:axId val="238448851"/>
      </c:barChart>
      <c:catAx>
        <c:axId val="872744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8448851"/>
        <c:crosses val="autoZero"/>
        <c:auto val="1"/>
        <c:lblAlgn val="ctr"/>
        <c:lblOffset val="100"/>
        <c:noMultiLvlLbl val="0"/>
      </c:catAx>
      <c:valAx>
        <c:axId val="2384488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2744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2540</xdr:colOff>
      <xdr:row>5</xdr:row>
      <xdr:rowOff>160020</xdr:rowOff>
    </xdr:from>
    <xdr:to>
      <xdr:col>13</xdr:col>
      <xdr:colOff>307340</xdr:colOff>
      <xdr:row>20</xdr:row>
      <xdr:rowOff>160020</xdr:rowOff>
    </xdr:to>
    <xdr:graphicFrame>
      <xdr:nvGraphicFramePr>
        <xdr:cNvPr id="6154" name="Chart 1"/>
        <xdr:cNvGraphicFramePr/>
      </xdr:nvGraphicFramePr>
      <xdr:xfrm>
        <a:off x="5031740" y="107442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452120</xdr:colOff>
      <xdr:row>3</xdr:row>
      <xdr:rowOff>160020</xdr:rowOff>
    </xdr:from>
    <xdr:to>
      <xdr:col>13</xdr:col>
      <xdr:colOff>147320</xdr:colOff>
      <xdr:row>18</xdr:row>
      <xdr:rowOff>160020</xdr:rowOff>
    </xdr:to>
    <xdr:graphicFrame>
      <xdr:nvGraphicFramePr>
        <xdr:cNvPr id="8198" name="Chart 1"/>
        <xdr:cNvGraphicFramePr/>
      </xdr:nvGraphicFramePr>
      <xdr:xfrm>
        <a:off x="5031740" y="70866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497840</xdr:colOff>
      <xdr:row>2</xdr:row>
      <xdr:rowOff>0</xdr:rowOff>
    </xdr:from>
    <xdr:to>
      <xdr:col>12</xdr:col>
      <xdr:colOff>193040</xdr:colOff>
      <xdr:row>17</xdr:row>
      <xdr:rowOff>0</xdr:rowOff>
    </xdr:to>
    <xdr:graphicFrame>
      <xdr:nvGraphicFramePr>
        <xdr:cNvPr id="2" name="Chart 1"/>
        <xdr:cNvGraphicFramePr/>
      </xdr:nvGraphicFramePr>
      <xdr:xfrm>
        <a:off x="4536440" y="36576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337820</xdr:colOff>
      <xdr:row>5</xdr:row>
      <xdr:rowOff>144780</xdr:rowOff>
    </xdr:from>
    <xdr:to>
      <xdr:col>14</xdr:col>
      <xdr:colOff>33020</xdr:colOff>
      <xdr:row>20</xdr:row>
      <xdr:rowOff>144780</xdr:rowOff>
    </xdr:to>
    <xdr:graphicFrame>
      <xdr:nvGraphicFramePr>
        <xdr:cNvPr id="2" name="Chart 1"/>
        <xdr:cNvGraphicFramePr/>
      </xdr:nvGraphicFramePr>
      <xdr:xfrm>
        <a:off x="5595620" y="105918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10160</xdr:colOff>
      <xdr:row>5</xdr:row>
      <xdr:rowOff>53340</xdr:rowOff>
    </xdr:from>
    <xdr:to>
      <xdr:col>12</xdr:col>
      <xdr:colOff>314960</xdr:colOff>
      <xdr:row>20</xdr:row>
      <xdr:rowOff>53340</xdr:rowOff>
    </xdr:to>
    <xdr:graphicFrame>
      <xdr:nvGraphicFramePr>
        <xdr:cNvPr id="2" name="Chart 1"/>
        <xdr:cNvGraphicFramePr/>
      </xdr:nvGraphicFramePr>
      <xdr:xfrm>
        <a:off x="4559300" y="96774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502285</xdr:colOff>
      <xdr:row>3</xdr:row>
      <xdr:rowOff>80645</xdr:rowOff>
    </xdr:from>
    <xdr:to>
      <xdr:col>14</xdr:col>
      <xdr:colOff>197485</xdr:colOff>
      <xdr:row>18</xdr:row>
      <xdr:rowOff>80645</xdr:rowOff>
    </xdr:to>
    <xdr:graphicFrame>
      <xdr:nvGraphicFramePr>
        <xdr:cNvPr id="2" name="Chart 1"/>
        <xdr:cNvGraphicFramePr/>
      </xdr:nvGraphicFramePr>
      <xdr:xfrm>
        <a:off x="5691505" y="62928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261620</xdr:colOff>
      <xdr:row>4</xdr:row>
      <xdr:rowOff>99060</xdr:rowOff>
    </xdr:from>
    <xdr:to>
      <xdr:col>12</xdr:col>
      <xdr:colOff>566420</xdr:colOff>
      <xdr:row>19</xdr:row>
      <xdr:rowOff>99060</xdr:rowOff>
    </xdr:to>
    <xdr:graphicFrame>
      <xdr:nvGraphicFramePr>
        <xdr:cNvPr id="2" name="Chart 1"/>
        <xdr:cNvGraphicFramePr/>
      </xdr:nvGraphicFramePr>
      <xdr:xfrm>
        <a:off x="5298440" y="83058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360680</xdr:colOff>
      <xdr:row>3</xdr:row>
      <xdr:rowOff>15240</xdr:rowOff>
    </xdr:from>
    <xdr:to>
      <xdr:col>12</xdr:col>
      <xdr:colOff>55880</xdr:colOff>
      <xdr:row>18</xdr:row>
      <xdr:rowOff>15240</xdr:rowOff>
    </xdr:to>
    <xdr:graphicFrame>
      <xdr:nvGraphicFramePr>
        <xdr:cNvPr id="2" name="Chart 1"/>
        <xdr:cNvGraphicFramePr/>
      </xdr:nvGraphicFramePr>
      <xdr:xfrm>
        <a:off x="5313680" y="56388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17780</xdr:colOff>
      <xdr:row>7</xdr:row>
      <xdr:rowOff>152400</xdr:rowOff>
    </xdr:from>
    <xdr:to>
      <xdr:col>11</xdr:col>
      <xdr:colOff>322580</xdr:colOff>
      <xdr:row>22</xdr:row>
      <xdr:rowOff>152400</xdr:rowOff>
    </xdr:to>
    <xdr:graphicFrame>
      <xdr:nvGraphicFramePr>
        <xdr:cNvPr id="2" name="Chart 1"/>
        <xdr:cNvGraphicFramePr/>
      </xdr:nvGraphicFramePr>
      <xdr:xfrm>
        <a:off x="4627880" y="1432560"/>
        <a:ext cx="82981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109220</xdr:colOff>
      <xdr:row>0</xdr:row>
      <xdr:rowOff>121920</xdr:rowOff>
    </xdr:from>
    <xdr:to>
      <xdr:col>12</xdr:col>
      <xdr:colOff>414020</xdr:colOff>
      <xdr:row>15</xdr:row>
      <xdr:rowOff>121920</xdr:rowOff>
    </xdr:to>
    <xdr:graphicFrame>
      <xdr:nvGraphicFramePr>
        <xdr:cNvPr id="2" name="Chart 1"/>
        <xdr:cNvGraphicFramePr/>
      </xdr:nvGraphicFramePr>
      <xdr:xfrm>
        <a:off x="4536440" y="121920"/>
        <a:ext cx="62255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153670</xdr:colOff>
      <xdr:row>18</xdr:row>
      <xdr:rowOff>53975</xdr:rowOff>
    </xdr:from>
    <xdr:to>
      <xdr:col>20</xdr:col>
      <xdr:colOff>283210</xdr:colOff>
      <xdr:row>33</xdr:row>
      <xdr:rowOff>53975</xdr:rowOff>
    </xdr:to>
    <xdr:graphicFrame>
      <xdr:nvGraphicFramePr>
        <xdr:cNvPr id="3" name="Chart 2"/>
        <xdr:cNvGraphicFramePr/>
      </xdr:nvGraphicFramePr>
      <xdr:xfrm>
        <a:off x="9282430" y="3345815"/>
        <a:ext cx="62255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minRefreshableVersion="1" refreshedDate="45252.7473958333" refreshedBy="Stella" recordCount="0">
  <cacheSource type="worksheet">
    <worksheetSource ref="A1:AC129" sheet="bothDataOutcomes"/>
  </cacheSource>
  <cacheFields count="29">
    <cacheField name="Classifier Name" numFmtId="0">
      <sharedItems count="8">
        <s v="LDA"/>
        <s v="LogReg"/>
        <s v="DTrees"/>
        <s v="RForest"/>
        <s v="KNN"/>
        <s v="Naive Bayes"/>
        <s v="SVM"/>
        <s v="Neural Network"/>
      </sharedItems>
    </cacheField>
    <cacheField name="Set Type" numFmtId="0">
      <sharedItems count="2">
        <s v="Train"/>
        <s v="Test"/>
      </sharedItems>
    </cacheField>
    <cacheField name="Balance" numFmtId="0">
      <sharedItems count="2">
        <s v="Balanced"/>
        <s v="Unbalanced"/>
      </sharedItems>
    </cacheField>
    <cacheField name="N training samples" numFmtId="0">
      <sharedItems containsSemiMixedTypes="0" containsString="0" containsNumber="1" containsInteger="1" minValue="0" maxValue="8037" count="2">
        <n v="744"/>
        <n v="8037"/>
      </sharedItems>
    </cacheField>
    <cacheField name="N non-healthy companies in training sample" numFmtId="0">
      <sharedItems containsSemiMixedTypes="0" containsString="0" containsNumber="1" containsInteger="1" minValue="0" maxValue="186" count="1">
        <n v="186"/>
      </sharedItems>
    </cacheField>
    <cacheField name="TP" numFmtId="0">
      <sharedItems containsSemiMixedTypes="0" containsString="0" containsNumber="1" containsInteger="1" minValue="0" maxValue="186" count="64">
        <n v="73"/>
        <n v="25"/>
        <n v="62"/>
        <n v="24"/>
        <n v="186"/>
        <n v="30"/>
        <n v="28"/>
        <n v="112"/>
        <n v="29"/>
        <n v="87"/>
        <n v="31"/>
        <n v="79"/>
        <n v="23"/>
        <n v="157"/>
        <n v="38"/>
        <n v="67"/>
        <n v="57"/>
        <n v="22"/>
        <n v="32"/>
        <n v="33"/>
        <n v="105"/>
        <n v="98"/>
        <n v="40"/>
        <n v="21"/>
        <n v="174"/>
        <n v="41"/>
        <n v="77"/>
        <n v="17"/>
        <n v="69"/>
        <n v="14"/>
        <n v="117"/>
        <n v="18"/>
        <n v="86"/>
        <n v="81"/>
        <n v="178"/>
        <n v="65"/>
        <n v="55"/>
        <n v="16"/>
        <n v="36"/>
        <n v="114"/>
        <n v="94"/>
        <n v="78"/>
        <n v="44"/>
        <n v="1"/>
        <n v="0"/>
        <n v="7"/>
        <n v="12"/>
        <n v="2"/>
        <n v="43"/>
        <n v="108"/>
        <n v="8"/>
        <n v="5"/>
        <n v="3"/>
        <n v="10"/>
        <n v="46"/>
        <n v="154"/>
        <n v="15"/>
        <n v="9"/>
        <n v="185"/>
        <n v="49"/>
        <n v="164"/>
        <n v="4"/>
        <n v="19"/>
        <n v="170"/>
      </sharedItems>
    </cacheField>
    <cacheField name="TN" numFmtId="0">
      <sharedItems containsSemiMixedTypes="0" containsString="0" containsNumber="1" containsInteger="1" minValue="0" maxValue="9469" count="84">
        <n v="525"/>
        <n v="9278"/>
        <n v="530"/>
        <n v="9339"/>
        <n v="558"/>
        <n v="8111"/>
        <n v="9191"/>
        <n v="8874"/>
        <n v="500"/>
        <n v="8806"/>
        <n v="539"/>
        <n v="9406"/>
        <n v="532"/>
        <n v="8392"/>
        <n v="520"/>
        <n v="9363"/>
        <n v="527"/>
        <n v="9469"/>
        <n v="7992"/>
        <n v="9293"/>
        <n v="8911"/>
        <n v="485"/>
        <n v="8664"/>
        <n v="9394"/>
        <n v="536"/>
        <n v="8484"/>
        <n v="519"/>
        <n v="9303"/>
        <n v="521"/>
        <n v="9375"/>
        <n v="8261"/>
        <n v="9193"/>
        <n v="516"/>
        <n v="8948"/>
        <n v="496"/>
        <n v="8720"/>
        <n v="9429"/>
        <n v="550"/>
        <n v="8791"/>
        <n v="9312"/>
        <n v="9418"/>
        <n v="7986"/>
        <n v="9239"/>
        <n v="8826"/>
        <n v="491"/>
        <n v="8792"/>
        <n v="544"/>
        <n v="9433"/>
        <n v="557"/>
        <n v="8781"/>
        <n v="7755"/>
        <n v="2589"/>
        <n v="7851"/>
        <n v="2616"/>
        <n v="2561"/>
        <n v="7847"/>
        <n v="2613"/>
        <n v="7418"/>
        <n v="2495"/>
        <n v="2617"/>
        <n v="7842"/>
        <n v="2605"/>
        <n v="7790"/>
        <n v="2591"/>
        <n v="2562"/>
        <n v="7409"/>
        <n v="2478"/>
        <n v="7834"/>
        <n v="2583"/>
        <n v="7764"/>
        <n v="2578"/>
        <n v="2615"/>
        <n v="2555"/>
        <n v="7845"/>
        <n v="2608"/>
        <n v="7402"/>
        <n v="2439"/>
        <n v="7848"/>
        <n v="2599"/>
        <n v="7773"/>
        <n v="2568"/>
        <n v="7406"/>
        <n v="2469"/>
        <n v="2594"/>
      </sharedItems>
    </cacheField>
    <cacheField name="FP" numFmtId="0">
      <sharedItems containsSemiMixedTypes="0" containsString="0" containsNumber="1" containsInteger="1" minValue="0" maxValue="1924" count="75">
        <n v="33"/>
        <n v="632"/>
        <n v="28"/>
        <n v="571"/>
        <n v="0"/>
        <n v="1799"/>
        <n v="719"/>
        <n v="1036"/>
        <n v="58"/>
        <n v="1104"/>
        <n v="19"/>
        <n v="504"/>
        <n v="26"/>
        <n v="1518"/>
        <n v="38"/>
        <n v="547"/>
        <n v="31"/>
        <n v="441"/>
        <n v="1918"/>
        <n v="617"/>
        <n v="999"/>
        <n v="73"/>
        <n v="1246"/>
        <n v="516"/>
        <n v="22"/>
        <n v="1426"/>
        <n v="39"/>
        <n v="607"/>
        <n v="37"/>
        <n v="535"/>
        <n v="1649"/>
        <n v="717"/>
        <n v="42"/>
        <n v="962"/>
        <n v="62"/>
        <n v="1190"/>
        <n v="481"/>
        <n v="8"/>
        <n v="1119"/>
        <n v="598"/>
        <n v="492"/>
        <n v="1924"/>
        <n v="671"/>
        <n v="1084"/>
        <n v="67"/>
        <n v="1118"/>
        <n v="14"/>
        <n v="477"/>
        <n v="1"/>
        <n v="1129"/>
        <n v="96"/>
        <n v="56"/>
        <n v="4"/>
        <n v="433"/>
        <n v="122"/>
        <n v="9"/>
        <n v="12"/>
        <n v="61"/>
        <n v="55"/>
        <n v="442"/>
        <n v="139"/>
        <n v="17"/>
        <n v="34"/>
        <n v="87"/>
        <n v="2"/>
        <n v="6"/>
        <n v="449"/>
        <n v="178"/>
        <n v="3"/>
        <n v="18"/>
        <n v="78"/>
        <n v="49"/>
        <n v="445"/>
        <n v="148"/>
        <n v="23"/>
      </sharedItems>
    </cacheField>
    <cacheField name="FN" numFmtId="0">
      <sharedItems containsSemiMixedTypes="0" containsString="0" containsNumber="1" containsInteger="1" minValue="0" maxValue="186" count="69">
        <n v="113"/>
        <n v="37"/>
        <n v="124"/>
        <n v="38"/>
        <n v="0"/>
        <n v="32"/>
        <n v="34"/>
        <n v="74"/>
        <n v="33"/>
        <n v="99"/>
        <n v="31"/>
        <n v="107"/>
        <n v="39"/>
        <n v="29"/>
        <n v="24"/>
        <n v="119"/>
        <n v="129"/>
        <n v="40"/>
        <n v="30"/>
        <n v="81"/>
        <n v="88"/>
        <n v="22"/>
        <n v="41"/>
        <n v="12"/>
        <n v="21"/>
        <n v="109"/>
        <n v="45"/>
        <n v="117"/>
        <n v="48"/>
        <n v="69"/>
        <n v="44"/>
        <n v="100"/>
        <n v="105"/>
        <n v="8"/>
        <n v="121"/>
        <n v="131"/>
        <n v="46"/>
        <n v="26"/>
        <n v="72"/>
        <n v="92"/>
        <n v="108"/>
        <n v="18"/>
        <n v="170"/>
        <n v="61"/>
        <n v="185"/>
        <n v="62"/>
        <n v="55"/>
        <n v="174"/>
        <n v="60"/>
        <n v="143"/>
        <n v="50"/>
        <n v="186"/>
        <n v="78"/>
        <n v="54"/>
        <n v="181"/>
        <n v="59"/>
        <n v="52"/>
        <n v="164"/>
        <n v="140"/>
        <n v="171"/>
        <n v="53"/>
        <n v="1"/>
        <n v="163"/>
        <n v="137"/>
        <n v="178"/>
        <n v="58"/>
        <n v="57"/>
        <n v="167"/>
        <n v="16"/>
      </sharedItems>
    </cacheField>
    <cacheField name="ROC-AUC" numFmtId="0">
      <sharedItems count="100">
        <s v="0.6666666666666667"/>
        <s v="0.6697259203801961"/>
        <s v="0.6415770609318996"/>
        <s v="0.6647391035448065"/>
        <s v="1.0"/>
        <s v="0.6511685817518961"/>
        <s v="0.6895299632173433"/>
        <s v="0.771505376344086"/>
        <s v="0.6816005338367892"/>
        <s v="0.681899641577061"/>
        <s v="0.6942986881937437"/>
        <s v="0.6953405017921147"/>
        <s v="0.6600550112301032"/>
        <s v="0.8987455197132618"/>
        <s v="0.7298623091696234"/>
        <s v="0.646057347670251"/>
        <s v="0.6982080661436803"/>
        <s v="0.6254480286738351"/>
        <s v="0.6551691025682758"/>
        <s v="0.6612935776830181"/>
        <s v="0.7349988607141694"/>
        <s v="0.7482078853046595"/>
        <s v="0.6834673350476873"/>
        <s v="0.6980286738351255"/>
        <s v="0.7597148530321278"/>
        <s v="0.689068100358423"/>
        <s v="0.6433205299306664"/>
        <s v="0.9480286738351255"/>
        <s v="0.7586976335405748"/>
        <s v="0.6720430107526882"/>
        <s v="0.6064711435174637"/>
        <s v="0.6523297491039427"/>
        <s v="0.585910289378601"/>
        <s v="0.6022850818658247"/>
        <s v="0.6654373230038085"/>
        <s v="0.7768817204301075"/>
        <s v="0.5966244588392305"/>
        <s v="0.6756272401433692"/>
        <s v="0.6093144754402526"/>
        <s v="0.6128283584518733"/>
        <s v="0.9713261648745519"/>
        <s v="0.7096709091500927"/>
        <s v="0.6415770609318997"/>
        <s v="0.6391832948146219"/>
        <s v="0.6182795698924731"/>
        <s v="0.6042088473682498"/>
        <s v="0.6932489176784611"/>
        <s v="0.6919517593828326"/>
        <s v="0.7724014336917562"/>
        <s v="0.687243253800332"/>
        <s v="0.692652329749104"/>
        <s v="0.6774632987207448"/>
        <s v="0.6971326164874552"/>
        <s v="0.6694817877022232"/>
        <s v="0.9991039426523298"/>
        <s v="0.7978760457016374"/>
        <s v="0.5368968818436936"/>
        <s v="0.5027148791401136"/>
        <s v="0.5026881720430108"/>
        <s v="0.49980894153611005"/>
        <s v="0.5457523389253885"/>
        <s v="0.5078734576651422"/>
        <s v="0.5320033198976091"/>
        <s v="0.5153647984025047"/>
        <s v="0.5880152928946796"/>
        <s v="0.5734650609538131"/>
        <s v="0.5"/>
        <s v="0.7897494052534915"/>
        <s v="0.5622234274655786"/>
        <s v="0.5095560047826247"/>
        <s v="0.5192260283259581"/>
        <s v="0.5701369457763754"/>
        <s v="0.5588850403277166"/>
        <s v="0.523429314531537"/>
        <s v="0.5955066336320419"/>
        <s v="0.602475131583813"/>
        <s v="0.9128958299949462"/>
        <s v="0.6870523993245159"/>
        <s v="0.5347818851923527"/>
        <s v="0.5167422682953887"/>
        <s v="0.5024334274244908"/>
        <s v="0.4996178830722201"/>
        <s v="0.5607350204001135"/>
        <s v="0.9973118279569892"/>
        <s v="0.5614458400614675"/>
        <s v="0.5063449899540227"/>
        <s v="0.6031253466786644"/>
        <s v="0.5788948192340405"/>
        <s v="0.9406691565898735"/>
        <s v="0.6094641734564324"/>
        <s v="0.5165378562829472"/>
        <s v="0.5299653629494496"/>
        <s v="0.5309607159145536"/>
        <s v="0.5080645161290323"/>
        <s v="0.5505020934255345"/>
        <s v="0.5399404637173815"/>
        <s v="0.595315575168152"/>
        <s v="0.584626573150739"/>
        <s v="0.953104391879399"/>
        <s v="0.8020572682337569"/>
      </sharedItems>
    </cacheField>
    <cacheField name="Accuracy" numFmtId="0">
      <sharedItems containsSemiMixedTypes="0" containsString="0" containsNumber="1" minValue="0" maxValue="1" count="94">
        <n v="0.803763440860215"/>
        <n v="0.932912154031288"/>
        <n v="0.795698924731183"/>
        <n v="0.938929001203369"/>
        <n v="1"/>
        <n v="0.816385880465303"/>
        <n v="0.924488567990373"/>
        <n v="0.856182795698925"/>
        <n v="0.892799839550742"/>
        <n v="0.788978494623656"/>
        <n v="0.886181307661452"/>
        <n v="0.830645161290323"/>
        <n v="0.94554753309266"/>
        <n v="0.926075268817204"/>
        <n v="0.845367027677497"/>
        <n v="0.941736863217008"/>
        <n v="0.78494623655914"/>
        <n v="0.951764941837144"/>
        <n v="0.804653028479743"/>
        <n v="0.935218612113919"/>
        <n v="0.84005376344086"/>
        <n v="0.896510228640193"/>
        <n v="0.783602150537634"/>
        <n v="0.872843963096671"/>
        <n v="0.821236559139785"/>
        <n v="0.94414360208584"/>
        <n v="0.954301075268817"/>
        <n v="0.854893702366627"/>
        <n v="0.801075268817204"/>
        <n v="0.934616927396711"/>
        <n v="0.793010752688172"/>
        <n v="0.941536301644605"/>
        <n v="0.830726032892098"/>
        <n v="0.924388287204172"/>
        <n v="0.850806451612903"/>
        <n v="0.899117529081428"/>
        <n v="0.782258064516129"/>
        <n v="0.876554352186121"/>
        <n v="0.829301075268817"/>
        <n v="0.947252306458083"/>
        <n v="0.978494623655914"/>
        <n v="0.884877657440834"/>
        <n v="0.787634408602151"/>
        <n v="0.935920577617329"/>
        <n v="0.779569892473118"/>
        <n v="0.946048937023666"/>
        <n v="0.804452466907341"/>
        <n v="0.929302045728039"/>
        <n v="0.852150537634409"/>
        <n v="0.888086642599278"/>
        <n v="0.786290322580645"/>
        <n v="0.88457681508223"/>
        <n v="0.836021505376344"/>
        <n v="0.948355395106298"/>
        <n v="0.998655913978495"/>
        <n v="0.884977938227036"/>
        <n v="0.966903073286052"/>
        <n v="0.966778648749534"/>
        <n v="0.976981460744059"/>
        <n v="0.976483762597984"/>
        <n v="0.958566629339306"/>
        <n v="0.97685703620754"/>
        <n v="0.977852432499689"/>
        <n v="0.976110488988429"/>
        <n v="0.928331466965286"/>
        <n v="0.935796939156402"/>
        <n v="0.989175065322882"/>
        <n v="0.975363941769317"/>
        <n v="0.969889262162499"/>
        <n v="0.968271743187757"/>
        <n v="0.960059723777529"/>
        <n v="0.979096677864875"/>
        <n v="0.927584919746174"/>
        <n v="0.930944382232176"/>
        <n v="0.993903197710589"/>
        <n v="0.973124300111982"/>
        <n v="0.967898469578201"/>
        <n v="0.963419186263531"/>
        <n v="0.957073534901083"/>
        <n v="0.999875575463481"/>
        <n v="0.978972253328356"/>
        <n v="0.973870847331094"/>
        <n v="0.9270872216001"/>
        <n v="0.915640164240388"/>
        <n v="0.996889386587035"/>
        <n v="0.968147318651238"/>
        <n v="0.960432997387085"/>
        <n v="0.977230309817096"/>
        <n v="0.978101281572726"/>
        <n v="0.977976857036208"/>
        <n v="0.927211646136618"/>
        <n v="0.926838372527062"/>
        <n v="0.990419310688068"/>
        <n v="0.982456140350877"/>
      </sharedItems>
    </cacheField>
    <cacheField name="Precision" numFmtId="0">
      <sharedItems containsSemiMixedTypes="0" containsString="0" containsNumber="1" minValue="0" maxValue="1" count="94">
        <n v="0.688679245283019"/>
        <n v="0.0380517503805175"/>
        <n v="0.688888888888889"/>
        <n v="0.0403361344537815"/>
        <n v="1"/>
        <n v="0.0164024056861673"/>
        <n v="0.0374832663989291"/>
        <n v="0.772413793103448"/>
        <n v="0.0272300469483568"/>
        <n v="0.6"/>
        <n v="0.0273127753303965"/>
        <n v="0.806122448979592"/>
        <n v="0.0436432637571157"/>
        <n v="0.85792349726776"/>
        <n v="0.0244215938303342"/>
        <n v="0.638095238095238"/>
        <n v="0.048695652173913"/>
        <n v="0.647727272727273"/>
        <n v="0.0475161987041037"/>
        <n v="0.0164102564102564"/>
        <n v="0.0507692307692308"/>
        <n v="0.734265734265734"/>
        <n v="0.0282101167315175"/>
        <n v="0.573099415204678"/>
        <n v="0.031104199066874"/>
        <n v="0.752380952380952"/>
        <n v="0.0391061452513967"/>
        <n v="0.887755102040816"/>
        <n v="0.0279481935923654"/>
        <n v="0.663793103448276"/>
        <n v="0.0272435897435897"/>
        <n v="0.650943396226415"/>
        <n v="0.0255009107468124"/>
        <n v="0.013755980861244"/>
        <n v="0.0336927223719677"/>
        <n v="0.735849056603774"/>
        <n v="0.0183673469387755"/>
        <n v="0.581081081081081"/>
        <n v="0.0173410404624277"/>
        <n v="0.786407766990291"/>
        <n v="0.034136546184739"/>
        <n v="0.956989247311828"/>
        <n v="0.0286458333333333"/>
        <n v="0.637254901960784"/>
        <n v="0.0339256865912763"/>
        <n v="0.625"/>
        <n v="0.031496062992126"/>
        <n v="0.0400572246065808"/>
        <n v="0.75"/>
        <n v="0.0269299820466786"/>
        <n v="0.583850931677019"/>
        <n v="0.025283347863993"/>
        <n v="0.847826086956522"/>
        <n v="0.0479041916167665"/>
        <n v="0.994652406417112"/>
        <n v="0.0375106564364876"/>
        <n v="0.142857142857143"/>
        <n v="0.0344827586206897"/>
        <n v="0"/>
        <n v="0.111111111111111"/>
        <n v="0.5"/>
        <n v="0.333333333333333"/>
        <n v="0.0903361344537815"/>
        <n v="0.0895522388059702"/>
        <n v="0.923076923076923"/>
        <n v="0.4"/>
        <n v="0.0757575757575758"/>
        <n v="0.103448275862069"/>
        <n v="0.153846153846154"/>
        <n v="0.846153846153846"/>
        <n v="0.428571428571429"/>
        <n v="0.0942622950819672"/>
        <n v="0.103225806451613"/>
        <n v="0.900584795321637"/>
        <n v="0.413793103448276"/>
        <n v="0.147058823529412"/>
        <n v="0.0714285714285714"/>
        <n v="0.2"/>
        <n v="0.126760563380282"/>
        <n v="0.793103448275862"/>
        <n v="0.1"/>
        <n v="0.0983935742971888"/>
        <n v="0.0729166666666667"/>
        <n v="0.982035928143713"/>
        <n v="0.4375"/>
        <n v="0.0930232558139535"/>
        <n v="0.25"/>
        <n v="0.0925925925925926"/>
        <n v="0.678571428571429"/>
        <n v="0.714285714285714"/>
        <n v="0.0936863543788187"/>
        <n v="0.0864197530864198"/>
        <n v="0.735930735930736"/>
        <n v="0.622950819672131"/>
      </sharedItems>
    </cacheField>
    <cacheField name="Recall" numFmtId="0">
      <sharedItems containsSemiMixedTypes="0" containsString="0" containsNumber="1" minValue="0" maxValue="1" count="65">
        <n v="0.39247311827957"/>
        <n v="0.403225806451613"/>
        <n v="0.333333333333333"/>
        <n v="0.387096774193548"/>
        <n v="1"/>
        <n v="0.483870967741936"/>
        <n v="0.451612903225806"/>
        <n v="0.602150537634409"/>
        <n v="0.467741935483871"/>
        <n v="0.5"/>
        <n v="0.424731182795699"/>
        <n v="0.370967741935484"/>
        <n v="0.844086021505376"/>
        <n v="0.612903225806452"/>
        <n v="0.360215053763441"/>
        <n v="0.306451612903226"/>
        <n v="0.354838709677419"/>
        <n v="0.516129032258065"/>
        <n v="0.532258064516129"/>
        <n v="0.564516129032258"/>
        <n v="0.526881720430108"/>
        <n v="0.645161290322581"/>
        <n v="0.338709677419355"/>
        <n v="0.935483870967742"/>
        <n v="0.661290322580645"/>
        <n v="0.413978494623656"/>
        <n v="0.274193548387097"/>
        <n v="0.225806451612903"/>
        <n v="0.629032258064516"/>
        <n v="0.290322580645161"/>
        <n v="0.462365591397849"/>
        <n v="0.435483870967742"/>
        <n v="0.956989247311828"/>
        <n v="0.349462365591398"/>
        <n v="0.295698924731183"/>
        <n v="0.258064516129032"/>
        <n v="0.580645161290323"/>
        <n v="0.505376344086022"/>
        <n v="0.419354838709677"/>
        <n v="0.709677419354839"/>
        <n v="0.0860215053763441"/>
        <n v="0.0161290322580645"/>
        <n v="0.00537634408602151"/>
        <n v="0"/>
        <n v="0.112903225806452"/>
        <n v="0.0645161290322581"/>
        <n v="0.032258064516129"/>
        <n v="0.231182795698925"/>
        <n v="0.193548387096774"/>
        <n v="0.129032258064516"/>
        <n v="0.0268817204301075"/>
        <n v="0.0483870967741936"/>
        <n v="0.161290322580645"/>
        <n v="0.118279569892473"/>
        <n v="0.247311827956989"/>
        <n v="0.827956989247312"/>
        <n v="0.0806451612903226"/>
        <n v="0.145161290322581"/>
        <n v="0.994623655913979"/>
        <n v="0.123655913978495"/>
        <n v="0.263440860215054"/>
        <n v="0.881720430107527"/>
        <n v="0.043010752688172"/>
        <n v="0.102150537634409"/>
        <n v="0.913978494623656"/>
      </sharedItems>
    </cacheField>
    <cacheField name="Specificity" numFmtId="0">
      <sharedItems containsSemiMixedTypes="0" containsString="0" containsNumber="1" minValue="0" maxValue="1" count="100">
        <n v="0.822884012539185"/>
        <n v="0.996027911969941"/>
        <n v="0.81039755351682"/>
        <n v="0.995947531193346"/>
        <n v="1"/>
        <n v="0.996070244381678"/>
        <n v="0.996314363143631"/>
        <n v="0.876460767946578"/>
        <n v="0.996295048837993"/>
        <n v="0.834724540901503"/>
        <n v="0.996492022179473"/>
        <n v="0.834365325077399"/>
        <n v="0.995870831127581"/>
        <n v="0.948306595365419"/>
        <n v="0.997148288973384"/>
        <n v="0.81377151799687"/>
        <n v="0.996381823986379"/>
        <n v="0.803353658536585"/>
        <n v="0.995793458828478"/>
        <n v="0.996260284218399"/>
        <n v="0.996889079596653"/>
        <n v="0.86522462562396"/>
        <n v="0.996310375670841"/>
        <n v="0.846422338568936"/>
        <n v="0.997467188579323"/>
        <n v="0.832550860719875"/>
        <n v="0.995654478007419"/>
        <n v="0.978102189781022"/>
        <n v="0.997530864197531"/>
        <n v="0.826433121019108"/>
        <n v="0.995186136071887"/>
        <n v="0.816614420062696"/>
        <n v="0.994906080865966"/>
        <n v="0.995301204819277"/>
        <n v="0.995991332611051"/>
        <n v="0.882051282051282"/>
        <n v="0.995106761565836"/>
        <n v="0.832214765100671"/>
        <n v="0.995320168930487"/>
        <n v="0.83619344773791"/>
        <n v="0.995250158328056"/>
        <n v="0.985663082437276"/>
        <n v="0.99671201814059"/>
        <n v="0.811526479750779"/>
        <n v="0.995616379771196"/>
        <n v="0.800304878048781"/>
        <n v="0.995139475908707"/>
        <n v="0.996754867698452"/>
        <n v="0.996333441173299"/>
        <n v="0.878378378378378"/>
        <n v="0.996387446376157"/>
        <n v="0.842195540308748"/>
        <n v="0.996260623229462"/>
        <n v="0.834355828220859"/>
        <n v="0.995987752085313"/>
        <n v="0.997954312990113"/>
        <n v="0.978548895899054"/>
        <n v="0.976981132075472"/>
        <n v="0.976978596316576"/>
        <n v="0.976848394324123"/>
        <n v="0.978975535168196"/>
        <n v="0.977213298468435"/>
        <n v="0.978306944271288"/>
        <n v="0.977553310886644"/>
        <n v="0.981087157783362"/>
        <n v="0.980353634577603"/>
        <n v="0.97685703620754"/>
        <n v="0.990151515151515"/>
        <n v="0.979691613388492"/>
        <n v="0.977292685986702"/>
        <n v="0.977735849056604"/>
        <n v="0.980107115531752"/>
        <n v="0.979528148795406"/>
        <n v="0.977919161676647"/>
        <n v="0.981454497284409"/>
        <n v="0.981774960380349"/>
        <n v="0.995931858632088"/>
        <n v="0.985501716901946"/>
        <n v="0.978449905482042"/>
        <n v="0.977626090254077"/>
        <n v="0.976967131474104"/>
        <n v="0.976839745984311"/>
        <n v="0.97967791411043"/>
        <n v="0.999872643912379"/>
        <n v="0.979645354645355"/>
        <n v="0.977144998126639"/>
        <n v="0.981827828624486"/>
        <n v="0.980699638118215"/>
        <n v="0.99720457433291"/>
        <n v="0.981866263694749"/>
        <n v="0.977612878883159"/>
        <n v="0.978220052572287"/>
        <n v="0.978285714285714"/>
        <n v="0.977221807318895"/>
        <n v="0.979148457984767"/>
        <n v="0.978667664670659"/>
        <n v="0.981447124304267"/>
        <n v="0.98092967818832"/>
        <n v="0.997950294645145"/>
        <n v="0.99083269671505"/>
      </sharedItems>
    </cacheField>
    <cacheField name="Negative Predictive Value" numFmtId="0">
      <sharedItems containsSemiMixedTypes="0" containsString="0" containsNumber="1" minValue="0" maxValue="1" count="100">
        <n v="0.822884012539185"/>
        <n v="0.996027911969941"/>
        <n v="0.81039755351682"/>
        <n v="0.995947531193346"/>
        <n v="1"/>
        <n v="0.996070244381678"/>
        <n v="0.996314363143631"/>
        <n v="0.876460767946578"/>
        <n v="0.996295048837993"/>
        <n v="0.834724540901503"/>
        <n v="0.996492022179473"/>
        <n v="0.834365325077399"/>
        <n v="0.995870831127581"/>
        <n v="0.948306595365419"/>
        <n v="0.997148288973384"/>
        <n v="0.81377151799687"/>
        <n v="0.996381823986379"/>
        <n v="0.803353658536585"/>
        <n v="0.995793458828478"/>
        <n v="0.996260284218399"/>
        <n v="0.996889079596653"/>
        <n v="0.86522462562396"/>
        <n v="0.996310375670841"/>
        <n v="0.846422338568936"/>
        <n v="0.997467188579323"/>
        <n v="0.832550860719875"/>
        <n v="0.995654478007419"/>
        <n v="0.978102189781022"/>
        <n v="0.997530864197531"/>
        <n v="0.826433121019108"/>
        <n v="0.995186136071887"/>
        <n v="0.816614420062696"/>
        <n v="0.994906080865966"/>
        <n v="0.995301204819277"/>
        <n v="0.995991332611051"/>
        <n v="0.882051282051282"/>
        <n v="0.995106761565836"/>
        <n v="0.832214765100671"/>
        <n v="0.995320168930487"/>
        <n v="0.83619344773791"/>
        <n v="0.995250158328056"/>
        <n v="0.985663082437276"/>
        <n v="0.99671201814059"/>
        <n v="0.811526479750779"/>
        <n v="0.995616379771196"/>
        <n v="0.800304878048781"/>
        <n v="0.995139475908707"/>
        <n v="0.996754867698452"/>
        <n v="0.996333441173299"/>
        <n v="0.878378378378378"/>
        <n v="0.996387446376157"/>
        <n v="0.842195540308748"/>
        <n v="0.996260623229462"/>
        <n v="0.834355828220859"/>
        <n v="0.995987752085313"/>
        <n v="0.997954312990113"/>
        <n v="0.978548895899054"/>
        <n v="0.976981132075472"/>
        <n v="0.976978596316576"/>
        <n v="0.976848394324123"/>
        <n v="0.978975535168196"/>
        <n v="0.977213298468435"/>
        <n v="0.978306944271288"/>
        <n v="0.977553310886644"/>
        <n v="0.981087157783362"/>
        <n v="0.980353634577603"/>
        <n v="0.97685703620754"/>
        <n v="0.990151515151515"/>
        <n v="0.979691613388492"/>
        <n v="0.977292685986702"/>
        <n v="0.977735849056604"/>
        <n v="0.980107115531752"/>
        <n v="0.979528148795406"/>
        <n v="0.977919161676647"/>
        <n v="0.981454497284409"/>
        <n v="0.981774960380349"/>
        <n v="0.995931858632088"/>
        <n v="0.985501716901946"/>
        <n v="0.978449905482042"/>
        <n v="0.977626090254077"/>
        <n v="0.976967131474104"/>
        <n v="0.976839745984311"/>
        <n v="0.97967791411043"/>
        <n v="0.999872643912379"/>
        <n v="0.979645354645355"/>
        <n v="0.977144998126639"/>
        <n v="0.981827828624486"/>
        <n v="0.980699638118215"/>
        <n v="0.99720457433291"/>
        <n v="0.981866263694749"/>
        <n v="0.977612878883159"/>
        <n v="0.978220052572287"/>
        <n v="0.978285714285714"/>
        <n v="0.977221807318895"/>
        <n v="0.979148457984767"/>
        <n v="0.978667664670659"/>
        <n v="0.981447124304267"/>
        <n v="0.98092967818832"/>
        <n v="0.997950294645145"/>
        <n v="0.99083269671505"/>
      </sharedItems>
    </cacheField>
    <cacheField name="Miss Rate" numFmtId="0">
      <sharedItems containsSemiMixedTypes="0" containsString="0" containsNumber="1" minValue="0" maxValue="1" count="65">
        <n v="0.60752688172043"/>
        <n v="0.596774193548387"/>
        <n v="0.666666666666667"/>
        <n v="0.612903225806452"/>
        <n v="0"/>
        <n v="0.516129032258065"/>
        <n v="0.548387096774194"/>
        <n v="0.397849462365591"/>
        <n v="0.532258064516129"/>
        <n v="0.5"/>
        <n v="0.575268817204301"/>
        <n v="0.629032258064516"/>
        <n v="0.155913978494624"/>
        <n v="0.387096774193548"/>
        <n v="0.639784946236559"/>
        <n v="0.693548387096774"/>
        <n v="0.645161290322581"/>
        <n v="0.483870967741936"/>
        <n v="0.467741935483871"/>
        <n v="0.435483870967742"/>
        <n v="0.473118279569893"/>
        <n v="0.354838709677419"/>
        <n v="0.661290322580645"/>
        <n v="0.0645161290322581"/>
        <n v="0.338709677419355"/>
        <n v="0.586021505376344"/>
        <n v="0.725806451612903"/>
        <n v="0.774193548387097"/>
        <n v="0.370967741935484"/>
        <n v="0.709677419354839"/>
        <n v="0.537634408602151"/>
        <n v="0.564516129032258"/>
        <n v="0.043010752688172"/>
        <n v="0.650537634408602"/>
        <n v="0.704301075268817"/>
        <n v="0.741935483870968"/>
        <n v="0.419354838709677"/>
        <n v="0.494623655913979"/>
        <n v="0.580645161290323"/>
        <n v="0.290322580645161"/>
        <n v="0.913978494623656"/>
        <n v="0.983870967741936"/>
        <n v="0.994623655913979"/>
        <n v="1"/>
        <n v="0.887096774193548"/>
        <n v="0.935483870967742"/>
        <n v="0.967741935483871"/>
        <n v="0.768817204301075"/>
        <n v="0.806451612903226"/>
        <n v="0.870967741935484"/>
        <n v="0.973118279569893"/>
        <n v="0.951612903225807"/>
        <n v="0.838709677419355"/>
        <n v="0.881720430107527"/>
        <n v="0.752688172043011"/>
        <n v="0.172043010752688"/>
        <n v="0.919354838709677"/>
        <n v="0.854838709677419"/>
        <n v="0.00537634408602151"/>
        <n v="0.876344086021505"/>
        <n v="0.736559139784946"/>
        <n v="0.118279569892473"/>
        <n v="0.956989247311828"/>
        <n v="0.897849462365591"/>
        <n v="0.0860215053763441"/>
      </sharedItems>
    </cacheField>
    <cacheField name="Fall-Out" numFmtId="0">
      <sharedItems containsSemiMixedTypes="0" containsString="0" containsNumber="1" minValue="0" maxValue="0.194147325933401" count="79">
        <n v="0.0591397849462366"/>
        <n v="0.063773965691221"/>
        <n v="0.0501792114695341"/>
        <n v="0.0576185671039354"/>
        <n v="0"/>
        <n v="0.181533804238143"/>
        <n v="0.0725529767911201"/>
        <n v="0.104540867810293"/>
        <n v="0.103942652329749"/>
        <n v="0.111402623612513"/>
        <n v="0.0340501792114695"/>
        <n v="0.0508577194752775"/>
        <n v="0.0465949820788531"/>
        <n v="0.153178607467205"/>
        <n v="0.0681003584229391"/>
        <n v="0.055196770938446"/>
        <n v="0.0555555555555556"/>
        <n v="0.0445005045408678"/>
        <n v="0.193541876892028"/>
        <n v="0.0622603430877901"/>
        <n v="0.100807265388496"/>
        <n v="0.130824372759857"/>
        <n v="0.125731584258325"/>
        <n v="0.0520686175580222"/>
        <n v="0.039426523297491"/>
        <n v="0.143895055499495"/>
        <n v="0.0698924731182796"/>
        <n v="0.0612512613521695"/>
        <n v="0.0663082437275986"/>
        <n v="0.0539858728557013"/>
        <n v="0.166397578203835"/>
        <n v="0.072351160443996"/>
        <n v="0.0752688172043011"/>
        <n v="0.0970736629667003"/>
        <n v="0.111111111111111"/>
        <n v="0.12008072653885"/>
        <n v="0.0485368314833502"/>
        <n v="0.014336917562724"/>
        <n v="0.112916246215944"/>
        <n v="0.060343087790111"/>
        <n v="0.0496468213925328"/>
        <n v="0.194147325933401"/>
        <n v="0.0677093844601413"/>
        <n v="0.109384460141271"/>
        <n v="0.120071684587814"/>
        <n v="0.112815338042381"/>
        <n v="0.025089605734767"/>
        <n v="0.0481331987891019"/>
        <n v="0.0017921146953405"/>
        <n v="0.113925327951564"/>
        <n v="0.0122277416889568"/>
        <n v="0.0106992739778372"/>
        <n v="0.000382116927779901"/>
        <n v="0.0213985479556744"/>
        <n v="0.000509489237039868"/>
        <n v="0.0015284677111196"/>
        <n v="0.0551522099095657"/>
        <n v="0.0466182651891479"/>
        <n v="0.0011463507833397"/>
        <n v="0.00458540313335881"/>
        <n v="0.00776971086485798"/>
        <n v="0.00993504012227742"/>
        <n v="0.0210164310278945"/>
        <n v="0.0562985606929054"/>
        <n v="0.0531142529614062"/>
        <n v="0.00216532925741944"/>
        <n v="0.0129919755445166"/>
        <n v="0.0110813909056171"/>
        <n v="0.0149025601834161"/>
        <n v="0.000764233855559801"/>
        <n v="0.0236912495223538"/>
        <n v="0.00343905235001911"/>
        <n v="0.0571901668577251"/>
        <n v="0.0680168131448223"/>
        <n v="0.00687810470003821"/>
        <n v="0.0187237294612151"/>
        <n v="0.0566806776206853"/>
        <n v="0.0565533053114253"/>
        <n v="0.00878868933893772"/>
      </sharedItems>
    </cacheField>
    <cacheField name="False Discovery Rate" numFmtId="0">
      <sharedItems containsSemiMixedTypes="0" containsString="0" containsNumber="1" minValue="0" maxValue="1" count="94">
        <n v="0.311320754716981"/>
        <n v="0.961948249619483"/>
        <n v="0.311111111111111"/>
        <n v="0.959663865546219"/>
        <n v="0"/>
        <n v="0.983597594313833"/>
        <n v="0.962516733601071"/>
        <n v="0.227586206896552"/>
        <n v="0.972769953051643"/>
        <n v="0.4"/>
        <n v="0.972687224669604"/>
        <n v="0.193877551020408"/>
        <n v="0.956356736242884"/>
        <n v="0.14207650273224"/>
        <n v="0.975578406169666"/>
        <n v="0.361904761904762"/>
        <n v="0.951304347826087"/>
        <n v="0.352272727272727"/>
        <n v="0.952483801295896"/>
        <n v="0.983589743589744"/>
        <n v="0.949230769230769"/>
        <n v="0.265734265734266"/>
        <n v="0.971789883268483"/>
        <n v="0.426900584795322"/>
        <n v="0.968895800933126"/>
        <n v="0.247619047619048"/>
        <n v="0.960893854748603"/>
        <n v="0.112244897959184"/>
        <n v="0.972051806407635"/>
        <n v="0.336206896551724"/>
        <n v="0.97275641025641"/>
        <n v="0.349056603773585"/>
        <n v="0.974499089253188"/>
        <n v="0.986244019138756"/>
        <n v="0.966307277628032"/>
        <n v="0.264150943396226"/>
        <n v="0.981632653061225"/>
        <n v="0.418918918918919"/>
        <n v="0.982658959537572"/>
        <n v="0.213592233009709"/>
        <n v="0.965863453815261"/>
        <n v="0.043010752688172"/>
        <n v="0.971354166666667"/>
        <n v="0.362745098039216"/>
        <n v="0.966074313408724"/>
        <n v="0.375"/>
        <n v="0.968503937007874"/>
        <n v="0.959942775393419"/>
        <n v="0.25"/>
        <n v="0.973070017953321"/>
        <n v="0.416149068322981"/>
        <n v="0.974716652136007"/>
        <n v="0.152173913043478"/>
        <n v="0.952095808383234"/>
        <n v="0.0053475935828877"/>
        <n v="0.962489343563512"/>
        <n v="0.857142857142857"/>
        <n v="0.96551724137931"/>
        <n v="1"/>
        <n v="0.888888888888889"/>
        <n v="0.5"/>
        <n v="0.666666666666667"/>
        <n v="0.909663865546219"/>
        <n v="0.91044776119403"/>
        <n v="0.0769230769230769"/>
        <n v="0.6"/>
        <n v="0.924242424242424"/>
        <n v="0.896551724137931"/>
        <n v="0.846153846153846"/>
        <n v="0.153846153846154"/>
        <n v="0.571428571428571"/>
        <n v="0.905737704918033"/>
        <n v="0.896774193548387"/>
        <n v="0.0994152046783626"/>
        <n v="0.586206896551724"/>
        <n v="0.852941176470588"/>
        <n v="0.928571428571429"/>
        <n v="0.8"/>
        <n v="0.873239436619718"/>
        <n v="0.206896551724138"/>
        <n v="0.9"/>
        <n v="0.901606425702811"/>
        <n v="0.927083333333333"/>
        <n v="0.0179640718562874"/>
        <n v="0.5625"/>
        <n v="0.906976744186047"/>
        <n v="0.75"/>
        <n v="0.907407407407408"/>
        <n v="0.321428571428571"/>
        <n v="0.285714285714286"/>
        <n v="0.906313645621181"/>
        <n v="0.91358024691358"/>
        <n v="0.264069264069264"/>
        <n v="0.377049180327869"/>
      </sharedItems>
    </cacheField>
    <cacheField name="False Omission Rate" numFmtId="0">
      <sharedItems containsSemiMixedTypes="0" containsString="0" containsNumber="1" minValue="0" maxValue="0.19969512195122" count="100">
        <n v="0.177115987460815"/>
        <n v="0.00397208803005904"/>
        <n v="0.18960244648318"/>
        <n v="0.00405246880665458"/>
        <n v="0"/>
        <n v="0.00392975561832249"/>
        <n v="0.00368563685636856"/>
        <n v="0.123539232053422"/>
        <n v="0.00370495116200741"/>
        <n v="0.165275459098498"/>
        <n v="0.00350797782052733"/>
        <n v="0.165634674922601"/>
        <n v="0.00412916887241927"/>
        <n v="0.0516934046345811"/>
        <n v="0.00285171102661597"/>
        <n v="0.18622848200313"/>
        <n v="0.00361817601362137"/>
        <n v="0.196646341463415"/>
        <n v="0.00420654117152172"/>
        <n v="0.0037397157816006"/>
        <n v="0.00311092040334692"/>
        <n v="0.13477537437604"/>
        <n v="0.00368962432915921"/>
        <n v="0.153577661431065"/>
        <n v="0.00253281142067695"/>
        <n v="0.167449139280125"/>
        <n v="0.00434552199258082"/>
        <n v="0.0218978102189781"/>
        <n v="0.00246913580246914"/>
        <n v="0.173566878980892"/>
        <n v="0.00481386392811297"/>
        <n v="0.183385579937304"/>
        <n v="0.00509391913403375"/>
        <n v="0.00469879518072289"/>
        <n v="0.00400866738894908"/>
        <n v="0.117948717948718"/>
        <n v="0.0048932384341637"/>
        <n v="0.167785234899329"/>
        <n v="0.00467983106951261"/>
        <n v="0.16380655226209"/>
        <n v="0.00474984167194427"/>
        <n v="0.014336917562724"/>
        <n v="0.00328798185941043"/>
        <n v="0.188473520249221"/>
        <n v="0.00438362022880359"/>
        <n v="0.19969512195122"/>
        <n v="0.00486052409129332"/>
        <n v="0.00324513230154768"/>
        <n v="0.00366655882670118"/>
        <n v="0.121621621621622"/>
        <n v="0.00361255362384285"/>
        <n v="0.157804459691252"/>
        <n v="0.00373937677053824"/>
        <n v="0.165644171779141"/>
        <n v="0.00401224791468694"/>
        <n v="0.00204568700988749"/>
        <n v="0.0214511041009464"/>
        <n v="0.0230188679245283"/>
        <n v="0.0230214036834246"/>
        <n v="0.0231516056758775"/>
        <n v="0.0210244648318043"/>
        <n v="0.0227867015315652"/>
        <n v="0.0216930557287121"/>
        <n v="0.0224466891133558"/>
        <n v="0.018912842216638"/>
        <n v="0.0196463654223969"/>
        <n v="0.0231429637924599"/>
        <n v="0.00984848484848485"/>
        <n v="0.0203083866115081"/>
        <n v="0.0227073140132982"/>
        <n v="0.0222641509433962"/>
        <n v="0.0198928844682479"/>
        <n v="0.0204718512045937"/>
        <n v="0.0220808383233533"/>
        <n v="0.0185455027155915"/>
        <n v="0.0182250396196513"/>
        <n v="0.00406814136791253"/>
        <n v="0.0144982830980542"/>
        <n v="0.0215500945179584"/>
        <n v="0.0223739097459234"/>
        <n v="0.0230328685258964"/>
        <n v="0.0231602540156892"/>
        <n v="0.0203220858895706"/>
        <n v="0.000127356087620988"/>
        <n v="0.0203546453546454"/>
        <n v="0.0228550018733608"/>
        <n v="0.018172171375514"/>
        <n v="0.0193003618817853"/>
        <n v="0.00279542566709022"/>
        <n v="0.0181337363052512"/>
        <n v="0.0223871211168406"/>
        <n v="0.0217799474277131"/>
        <n v="0.0217142857142857"/>
        <n v="0.0227781926811053"/>
        <n v="0.0208515420152329"/>
        <n v="0.0213323353293413"/>
        <n v="0.0185528756957328"/>
        <n v="0.0190703218116806"/>
        <n v="0.00204970535485524"/>
        <n v="0.00916730328495035"/>
      </sharedItems>
    </cacheField>
    <cacheField name="Positive likelihood ratio" numFmtId="0">
      <sharedItems containsSemiMixedTypes="0" containsString="0" containsNumber="1" minValue="0" maxValue="2307.4623655914" count="94">
        <n v="6.63636363636364"/>
        <n v="6.32273376888526"/>
        <n v="6.64285714285714"/>
        <n v="6.71826450483024"/>
        <n v="0"/>
        <n v="2.66545930534885"/>
        <n v="6.22459509174929"/>
        <n v="10.1818181818182"/>
        <n v="4.47424959521734"/>
        <n v="4.5"/>
        <n v="4.48822463768116"/>
        <n v="12.4736842105263"/>
        <n v="7.29422683051715"/>
        <n v="18.1153846153846"/>
        <n v="4.00123252156913"/>
        <n v="5.28947368421053"/>
        <n v="8.18187179335967"/>
        <n v="5.51612903225807"/>
        <n v="7.97381318118645"/>
        <n v="2.66675636583807"/>
        <n v="8.54890991791708"/>
        <n v="8.28947368421053"/>
        <n v="4.63996254318835"/>
        <n v="4.02739726027397"/>
        <n v="5.13125873763786"/>
        <n v="9.11538461538462"/>
        <n v="6.50506376594148"/>
        <n v="23.7272727272727"/>
        <n v="4.5956431253676"/>
        <n v="5.92307692307692"/>
        <n v="4.47653717383217"/>
        <n v="5.5945945945946"/>
        <n v="4.18269520651191"/>
        <n v="2.22940589604648"/>
        <n v="5.5731767669951"/>
        <n v="8.35714285714286"/>
        <n v="2.99074508751928"/>
        <n v="4.16129032258065"/>
        <n v="2.82068311195446"/>
        <n v="11.0454545454545"/>
        <n v="5.6491851653142"/>
        <n v="66.75"/>
        <n v="4.71374210844936"/>
        <n v="5.27027027027027"/>
        <n v="5.61306505556155"/>
        <n v="5"/>
        <n v="5.19800681877787"/>
        <n v="6.6698716407865"/>
        <n v="9"/>
        <n v="4.42358052612784"/>
        <n v="4.2089552238806"/>
        <n v="4.1460845980726"/>
        <n v="16.7142857142857"/>
        <n v="8.04219922905255"/>
        <n v="558"/>
        <n v="6.22932083773822"/>
        <n v="7.03494623655914"/>
        <n v="1.50748847926267"/>
        <n v="5.27620967741936"/>
        <n v="42.2096774193548"/>
        <n v="126.629032258065"/>
        <n v="21.1048387096774"/>
        <n v="4.19172316173732"/>
        <n v="4.15177154944474"/>
        <n v="506.516129032258"/>
        <n v="28.1397849462366"/>
        <n v="3.45980962453728"/>
        <n v="4.87034739454094"/>
        <n v="7.67448680351906"/>
        <n v="232.153225806452"/>
        <n v="31.6572580645161"/>
        <n v="4.39286235586046"/>
        <n v="4.85866790438617"/>
        <n v="382.370018975332"/>
        <n v="29.7950664136622"/>
        <n v="7.27753058954394"/>
        <n v="3.2468982630273"/>
        <n v="10.5524193548387"/>
        <n v="6.12721123829345"/>
        <n v="161.80376344086"/>
        <n v="4.68996415770609"/>
        <n v="4.60640132193405"/>
        <n v="3.31986226893802"/>
        <n v="2307.4623655914"/>
        <n v="32.8297491039427"/>
        <n v="4.32919768403639"/>
        <n v="14.0698924731183"/>
        <n v="4.30710994075049"/>
        <n v="89.1093189964158"/>
        <n v="105.524193548387"/>
        <n v="4.3632475534614"/>
        <n v="3.99280732345249"/>
        <n v="117.633527234268"/>
        <n v="69.7377279102384"/>
      </sharedItems>
    </cacheField>
    <cacheField name="Negative likelihood ratio " numFmtId="0">
      <sharedItems containsSemiMixedTypes="0" containsString="0" containsNumber="1" minValue="0" maxValue="1.02370936902486" count="100">
        <n v="0.738289810547875"/>
        <n v="0.599154086322831"/>
        <n v="0.822641509433962"/>
        <n v="0.615397103371571"/>
        <n v="0"/>
        <n v="0.518165295238247"/>
        <n v="0.550415729272325"/>
        <n v="0.453927291346646"/>
        <n v="0.534237387947393"/>
        <n v="0.637645161290323"/>
        <n v="0.501760163524869"/>
        <n v="0.689468749376584"/>
        <n v="0.631640407975692"/>
        <n v="0.16441304875091"/>
        <n v="0.388203819305637"/>
        <n v="0.786197270471464"/>
        <n v="0.55037846292717"/>
        <n v="0.863316398359552"/>
        <n v="0.647886652199537"/>
        <n v="0.485687300203429"/>
        <n v="0.469201584265646"/>
        <n v="0.503318858560794"/>
        <n v="0.534229169457104"/>
        <n v="0.558962421017626"/>
        <n v="0.355739731331725"/>
        <n v="0.690971380063061"/>
        <n v="0.664176516238917"/>
        <n v="0.0659605199807415"/>
        <n v="0.339548067709997"/>
        <n v="0.709097312863862"/>
        <n v="0.729317285787103"/>
        <n v="0.77029286112315"/>
        <n v="0.778157419354839"/>
        <n v="0.632001905572629"/>
        <n v="0.59917609120544"/>
        <n v="0.420573893473368"/>
        <n v="0.713167116097308"/>
        <n v="0.64602844259452"/>
        <n v="0.664399600473513"/>
        <n v="0.675102311025518"/>
        <n v="0.729270370408383"/>
        <n v="0.0436363636363636"/>
        <n v="0.469284935839807"/>
        <n v="0.801622190576435"/>
        <n v="0.664201931604035"/>
        <n v="0.880040962621608"/>
        <n v="0.745559292774988"/>
        <n v="0.420720131197337"/>
        <n v="0.550405189781047"/>
        <n v="0.440694789081886"/>
        <n v="0.518000336249936"/>
        <n v="0.587302630138186"/>
        <n v="0.534255848425255"/>
        <n v="0.695920303605313"/>
        <n v="0.615372251840656"/>
        <n v="0.290917707219767"/>
        <n v="0.9340141289352"/>
        <n v="1.00705216860414"/>
        <n v="1.01806084561517"/>
        <n v="1.0237003058104"/>
        <n v="0.906148052046202"/>
        <n v="1.00681291309066"/>
        <n v="0.956227364474609"/>
        <n v="0.989963334691308"/>
        <n v="0.783638026654143"/>
        <n v="0.822612967871226"/>
        <n v="1.02369124952235"/>
        <n v="0.423525927388504"/>
        <n v="0.889022351557179"/>
        <n v="0.99572860159841"/>
        <n v="0.973282205151828"/>
        <n v="0.85573266853013"/>
        <n v="0.900148128659538"/>
        <n v="0.97309976173722"/>
        <n v="0.766910920603683"/>
        <n v="0.755708297534432"/>
        <n v="0.172745764945193"/>
        <n v="0.621919998001823"/>
        <n v="0.939603380365957"/>
        <n v="0.97339147626317"/>
        <n v="1.01807279269798"/>
        <n v="1.02370936902486"/>
        <n v="0.872571176062117"/>
        <n v="0.00537702888338312"/>
        <n v="0.894552382518829"/>
        <n v="1.00688328715614"/>
        <n v="0.75019175288283"/>
        <n v="0.789429829782169"/>
        <n v="0.118611138513476"/>
        <n v="0.78849185170475"/>
        <n v="0.978904091776192"/>
        <n v="0.956312302643799"/>
        <n v="0.939761079288514"/>
        <n v="1.00680414658498"/>
        <n v="0.916969694476667"/>
        <n v="0.939394313205452"/>
        <n v="0.766916681911499"/>
        <n v="0.789244698781014"/>
        <n v="0.0861981862603006"/>
        <n v="0.390678240107444"/>
      </sharedItems>
    </cacheField>
    <cacheField name="Prevalence Threshold" numFmtId="0">
      <sharedItems containsSemiMixedTypes="0" containsString="0" containsNumber="1" minValue="0" maxValue="1" count="95">
        <n v="0.279633139203379"/>
        <n v="0.284535117180077"/>
        <n v="0.279534646903006"/>
        <n v="0.278399419177803"/>
        <n v="0"/>
        <n v="0.379849234727569"/>
        <n v="0.286130086313328"/>
        <n v="0.238612450985827"/>
        <n v="0.321002327742422"/>
        <n v="0.320377241017041"/>
        <n v="0.320662561091865"/>
        <n v="0.220662368253351"/>
        <n v="0.27021311413776"/>
        <n v="0.190250890949392"/>
        <n v="0.333299102775571"/>
        <n v="0.303040810219408"/>
        <n v="0.259040705908737"/>
        <n v="0.298628332836211"/>
        <n v="0.261520356739235"/>
        <n v="0.379791935551565"/>
        <n v="0.254851616765444"/>
        <n v="0.257788791237772"/>
        <n v="0.317051951688835"/>
        <n v="0.332575324684138"/>
        <n v="0.306257309699073"/>
        <n v="0.248807619086073"/>
        <n v="0.281650261574857"/>
        <n v="0.170326853193901"/>
        <n v="0.318091945396089"/>
        <n v="0.291227875611137"/>
        <n v="0.320946625661005"/>
        <n v="0.297151252205229"/>
        <n v="0.328389553599016"/>
        <n v="0.401103915253136"/>
        <n v="0.297551950717328"/>
        <n v="0.25701177368637"/>
        <n v="0.366383966159434"/>
        <n v="0.32895558178622"/>
        <n v="0.373205495905264"/>
        <n v="0.231295681636759"/>
        <n v="0.296138228076628"/>
        <n v="0.109050453523713"/>
        <n v="0.315346454418665"/>
        <n v="0.303425038622327"/>
        <n v="0.296807173832802"/>
        <n v="0.309016994374947"/>
        <n v="0.304886063712955"/>
        <n v="0.279126153770727"/>
        <n v="0.25"/>
        <n v="0.322244785732826"/>
        <n v="0.327699755011575"/>
        <n v="0.329359755614614"/>
        <n v="0.196528873113712"/>
        <n v="0.260696565613242"/>
        <n v="0.0406140460000636"/>
        <n v="0.286052584507585"/>
        <n v="0.273796524800258"/>
        <n v="0.44887368575528"/>
        <n v="1"/>
        <n v="0.303306022224835"/>
        <n v="0.133388511311977"/>
        <n v="0.081612955353149"/>
        <n v="0.178762950890268"/>
        <n v="0.328151836015523"/>
        <n v="0.329208391466813"/>
        <n v="0.0425424867108466"/>
        <n v="0.15861196477349"/>
        <n v="0.349643460717118"/>
        <n v="0.311828948253198"/>
        <n v="0.265231839380887"/>
        <n v="0.0615893428064682"/>
        <n v="0.150909722279542"/>
        <n v="0.323006217665956"/>
        <n v="0.312086619584413"/>
        <n v="0.0486516584425441"/>
        <n v="0.154835056161476"/>
        <n v="0.270439122106106"/>
        <n v="0.356898742822608"/>
        <n v="0.23538003073204"/>
        <n v="0.287743251227709"/>
        <n v="0.0728851774022137"/>
        <n v="0.315892636817049"/>
        <n v="0.3178384083433"/>
        <n v="0.354352468063953"/>
        <n v="0.0203931585749407"/>
        <n v="0.148594480925939"/>
        <n v="0.324604458514457"/>
        <n v="0.210482644691764"/>
        <n v="0.325165417983734"/>
        <n v="0.0957875210628836"/>
        <n v="0.0887114899747217"/>
        <n v="0.323746256478886"/>
        <n v="0.33353333973767"/>
        <n v="0.084417399790844"/>
        <n v="0.106941442852583"/>
      </sharedItems>
    </cacheField>
    <cacheField name="Threat Score" numFmtId="0">
      <sharedItems containsSemiMixedTypes="0" containsString="0" containsNumber="1" minValue="0" maxValue="1" count="98">
        <n v="0.333333333333333"/>
        <n v="0.0360230547550432"/>
        <n v="0.289719626168224"/>
        <n v="0.037914691943128"/>
        <n v="1"/>
        <n v="0.016120365394949"/>
        <n v="0.0358514724711908"/>
        <n v="0.511415525114155"/>
        <n v="0.0264116575591985"/>
        <n v="0.35655737704918"/>
        <n v="0.0265866209262436"/>
        <n v="0.385365853658537"/>
        <n v="0.0406360424028269"/>
        <n v="0.740566037735849"/>
        <n v="0.0240506329113924"/>
        <n v="0.299107142857143"/>
        <n v="0.0459770114942529"/>
        <n v="0.262672811059908"/>
        <n v="0.0437375745526839"/>
        <n v="0.0161616161616162"/>
        <n v="0.04860088365243"/>
        <n v="0.46875"/>
        <n v="0.0273327049952875"/>
        <n v="0.378378378378378"/>
        <n v="0.0305810397553517"/>
        <n v="0.372641509433962"/>
        <n v="0.0363321799307959"/>
        <n v="0.836538461538462"/>
        <n v="0.0275537634408602"/>
        <n v="0.342222222222222"/>
        <n v="0.0254110612855007"/>
        <n v="0.309417040358744"/>
        <n v="0.0234505862646566"/>
        <n v="0.0134424313267095"/>
        <n v="0.0320924261874198"/>
        <n v="0.513157894736842"/>
        <n v="0.017578125"/>
        <n v="0.346774193548387"/>
        <n v="0.0167731629392971"/>
        <n v="0.389423076923077"/>
        <n v="0.0313075506445672"/>
        <n v="0.917525773195876"/>
        <n v="0.0279424216765453"/>
        <n v="0.291479820627803"/>
        <n v="0.0318181818181818"/>
        <n v="0.251141552511416"/>
        <n v="0.0288808664259928"/>
        <n v="0.0181268882175227"/>
        <n v="0.0381991814461119"/>
        <n v="0.508928571428571"/>
        <n v="0.0261780104712042"/>
        <n v="0.371541501976285"/>
        <n v="0.0245762711864407"/>
        <n v="0.39"/>
        <n v="0.0445269016697588"/>
        <n v="0.994652406417112"/>
        <n v="0.036943744752309"/>
        <n v="0.0567375886524823"/>
        <n v="0.0111111111111111"/>
        <n v="0.00537634408602151"/>
        <n v="0"/>
        <n v="0.0593220338983051"/>
        <n v="0.0158730158730159"/>
        <n v="0.0631578947368421"/>
        <n v="0.0303030303030303"/>
        <n v="0.0694668820678514"/>
        <n v="0.0652173913043478"/>
        <n v="0.553846153846154"/>
        <n v="0.108108108108108"/>
        <n v="0.0202429149797571"/>
        <n v="0.0340909090909091"/>
        <n v="0.0854700854700855"/>
        <n v="0.115789473684211"/>
        <n v="0.0454545454545455"/>
        <n v="0.0732484076433121"/>
        <n v="0.0796019900497512"/>
        <n v="0.758620689655172"/>
        <n v="0.25"/>
        <n v="0.0549450549450549"/>
        <n v="0.0297029702970297"/>
        <n v="0.00526315789473684"/>
        <n v="0.0725806451612903"/>
        <n v="0.994623655913979"/>
        <n v="0.119791666666667"/>
        <n v="0.0140845070422535"/>
        <n v="0.0771653543307087"/>
        <n v="0.0583333333333333"/>
        <n v="0.867724867724868"/>
        <n v="0.175"/>
        <n v="0.0540540540540541"/>
        <n v="0.045045045045045"/>
        <n v="0.0161290322580645"/>
        <n v="0.0974358974358974"/>
        <n v="0.078125"/>
        <n v="0.0729001584786054"/>
        <n v="0.0666666666666667"/>
        <n v="0.688259109311741"/>
        <n v="0.447058823529412"/>
      </sharedItems>
    </cacheField>
    <cacheField name="F1 Score" numFmtId="0">
      <sharedItems containsSemiMixedTypes="0" containsString="0" containsNumber="1" minValue="0" maxValue="1" count="98">
        <n v="0.5"/>
        <n v="0.0695410292072323"/>
        <n v="0.449275362318841"/>
        <n v="0.0730593607305936"/>
        <n v="1"/>
        <n v="0.0317292437863564"/>
        <n v="0.069221260815822"/>
        <n v="0.676737160120846"/>
        <n v="0.0514640638864241"/>
        <n v="0.525679758308157"/>
        <n v="0.051796157059315"/>
        <n v="0.556338028169014"/>
        <n v="0.0780984719864177"/>
        <n v="0.850948509485095"/>
        <n v="0.0469715698393078"/>
        <n v="0.460481099656357"/>
        <n v="0.0879120879120879"/>
        <n v="0.416058394160584"/>
        <n v="0.0838095238095238"/>
        <n v="0.0318091451292247"/>
        <n v="0.0926966292134832"/>
        <n v="0.638297872340426"/>
        <n v="0.0532110091743119"/>
        <n v="0.549019607843137"/>
        <n v="0.0593471810089021"/>
        <n v="0.542955326460481"/>
        <n v="0.0701168614357262"/>
        <n v="0.910994764397906"/>
        <n v="0.0536298234139961"/>
        <n v="0.509933774834437"/>
        <n v="0.0495626822157434"/>
        <n v="0.472602739726027"/>
        <n v="0.0458265139116203"/>
        <n v="0.0265282583621684"/>
        <n v="0.0621890547263682"/>
        <n v="0.678260869565217"/>
        <n v="0.0345489443378119"/>
        <n v="0.51497005988024"/>
        <n v="0.0329929300864101"/>
        <n v="0.560553633217993"/>
        <n v="0.0607142857142857"/>
        <n v="0.956989247311828"/>
        <n v="0.0543657331136738"/>
        <n v="0.451388888888889"/>
        <n v="0.0616740088105727"/>
        <n v="0.401459854014599"/>
        <n v="0.056140350877193"/>
        <n v="0.0356083086053413"/>
        <n v="0.0735873850197109"/>
        <n v="0.674556213017752"/>
        <n v="0.0510204081632653"/>
        <n v="0.54178674351585"/>
        <n v="0.0479735318444996"/>
        <n v="0.561151079136691"/>
        <n v="0.0852575488454707"/>
        <n v="0.997319034852547"/>
        <n v="0.0712550607287449"/>
        <n v="0.10738255033557"/>
        <n v="0.021978021978022"/>
        <n v="0.0106951871657754"/>
        <n v="0"/>
        <n v="0.112"/>
        <n v="0.03125"/>
        <n v="0.118811881188119"/>
        <n v="0.0588235294117647"/>
        <n v="0.129909365558912"/>
        <n v="0.122448979591837"/>
        <n v="0.712871287128713"/>
        <n v="0.195121951219512"/>
        <n v="0.0396825396825397"/>
        <n v="0.0659340659340659"/>
        <n v="0.15748031496063"/>
        <n v="0.207547169811321"/>
        <n v="0.0869565217391304"/>
        <n v="0.136498516320475"/>
        <n v="0.147465437788018"/>
        <n v="0.862745098039216"/>
        <n v="0.4"/>
        <n v="0.104166666666667"/>
        <n v="0.0576923076923077"/>
        <n v="0.0104712041884817"/>
        <n v="0.135338345864662"/>
        <n v="0.997304582210243"/>
        <n v="0.213953488372093"/>
        <n v="0.0277777777777778"/>
        <n v="0.14327485380117"/>
        <n v="0.110236220472441"/>
        <n v="0.929178470254958"/>
        <n v="0.297872340425532"/>
        <n v="0.102564102564103"/>
        <n v="0.0862068965517241"/>
        <n v="0.0317460317460317"/>
        <n v="0.177570093457944"/>
        <n v="0.144927536231884"/>
        <n v="0.13589364844904"/>
        <n v="0.125"/>
        <n v="0.815347721822542"/>
        <n v="0.617886178861789"/>
      </sharedItems>
    </cacheField>
    <cacheField name="Phi Coefficient " numFmtId="0">
      <sharedItems containsNumber="1" containsMixedTypes="1" count="101">
        <n v="0.412941988590086"/>
        <n v="0.107556515922355"/>
        <n v="0.37599868903746"/>
        <n v="0.109337446028588"/>
        <n v="1"/>
        <n v="0.0614080258833288"/>
        <n v="0.113187132519866"/>
        <n v="0.59358728405853"/>
        <n v="0.0924355986983657"/>
        <n v="0.397683889979807"/>
        <n v="0.0961794253349985"/>
        <n v="0.500226355115376"/>
        <n v="0.112467140983644"/>
        <n v="0.801848660652979"/>
        <n v="0.0995801493248611"/>
        <n v="0.363313803467948"/>
        <n v="0.133676620067754"/>
        <n v="0.336414071047597"/>
        <n v="0.115933780166698"/>
        <n v="0.063932414770192"/>
        <n v="0.149663947826756"/>
        <n v="0.545524031530693"/>
        <n v="0.0948547246595312"/>
        <n v="0.40762074663779"/>
        <n v="0.121822934979059"/>
        <n v="0.47030191737262"/>
        <n v="0.0998189455581828"/>
        <n v="0.88082789940534"/>
        <n v="0.114816130879678"/>
        <n v="0.410706697309143"/>
        <n v="0.0691103256591515"/>
        <n v="0.377420097098466"/>
        <n v="0.0592143657367111"/>
        <n v="0.0430445113529258"/>
        <n v="0.0991044962883971"/>
        <n v="0.584953517505721"/>
        <n v="0.0510280009915965"/>
        <n v="0.381014458590798"/>
        <n v="0.0526128019254956"/>
        <n v="0.49657404861866"/>
        <n v="0.0814328389593398"/>
        <n v="0.942652329749104"/>
        <n v="0.103119384915063"/>
        <n v="0.356474821056635"/>
        <n v="0.0906836493747485"/>
        <n v="0.317190409844877"/>
        <n v="0.0745071648620178"/>
        <n v="0.0764506587485766"/>
        <n v="0.118196889312372"/>
        <n v="0.585100284004667"/>
        <n v="0.0934455046339642"/>
        <n v="0.405163782708781"/>
        <n v="0.0874444301003655"/>
        <n v="0.51861412603079"/>
        <n v="0.121974465232308"/>
        <n v="0.996428560019642"/>
        <n v="0.14535587262801"/>
        <n v="0.0946520392500687"/>
        <n v="0.00788962327561353"/>
        <n v="0.0724746376222483"/>
        <n v="-0.00297432688755591"/>
        <n v="0.0907928937001398"/>
        <n v="0.0866870082853728"/>
        <n v="0.215908499699128"/>
        <n v="0.0977416043910797"/>
        <n v="0.112127980323865"/>
        <n v="0.101347316186999"/>
        <e v="#DIV/0!"/>
        <n v="0.727471507122121"/>
        <n v="0.217373933878777"/>
        <n v="0.0318417510494575"/>
        <n v="0.055872144854203"/>
        <n v="0.137077154850299"/>
        <n v="0.311834307190393"/>
        <n v="0.138013013104071"/>
        <n v="0.120261847219547"/>
        <n v="0.131988368925677"/>
        <n v="0.860427786555636"/>
        <n v="0.386494642095749"/>
        <n v="0.0934390732307902"/>
        <n v="0.0405286641040737"/>
        <n v="0.0293474588665716"/>
        <n v="-0.00420711899310615"/>
        <n v="0.113706139691358"/>
        <n v="0.997244696419342"/>
        <n v="0.308162941808348"/>
        <n v="0.0312884719382915"/>
        <n v="0.12863016743631"/>
        <n v="0.0919787874892949"/>
        <n v="0.929000631135434"/>
        <n v="0.303003569057719"/>
        <n v="0.0483357061395354"/>
        <n v="0.116950388692565"/>
        <n v="0.0662486697793068"/>
        <n v="0.125545378463449"/>
        <n v="0.257744955949454"/>
        <n v="0.235273794928563"/>
        <n v="0.119677823635479"/>
        <n v="0.106766582528733"/>
        <n v="0.815505632195034"/>
        <n v="0.608929835443824"/>
      </sharedItems>
    </cacheField>
    <cacheField name="Fowlkes–Mallows index" numFmtId="0">
      <sharedItems containsSemiMixedTypes="0" containsString="0" containsNumber="1" minValue="0" maxValue="1" count="98">
        <n v="0.519892383951378"/>
        <n v="0.123868671317971"/>
        <n v="0.479196858952174"/>
        <n v="0.124955942357681"/>
        <n v="1"/>
        <n v="0.0890878662482249"/>
        <n v="0.130107366281878"/>
        <n v="0.681989282022434"/>
        <n v="0.112856700567317"/>
        <n v="0.529759531570997"/>
        <n v="0.116860547941545"/>
        <n v="0.58513702774074"/>
        <n v="0.127240885750894"/>
        <n v="0.850976633971064"/>
        <n v="0.122344078883887"/>
        <n v="0.479428316327553"/>
        <n v="0.148295599573065"/>
        <n v="0.445530097130015"/>
        <n v="0.129848321656231"/>
        <n v="0.0920315693668881"/>
        <n v="0.164384708857617"/>
        <n v="0.643820510692787"/>
        <n v="0.114869728824551"/>
        <n v="0.549504873372866"/>
        <n v="0.141658833838327"/>
        <n v="0.565296074475771"/>
        <n v="0.115089660018678"/>
        <n v="0.91130707191841"/>
        <n v="0.135948041384352"/>
        <n v="0.52420994811915"/>
        <n v="0.0864292574455964"/>
        <n v="0.491405130036234"/>
        <n v="0.0758832667235344"/>
        <n v="0.0714354614893991"/>
        <n v="0.11655803339962"/>
        <n v="0.680347553585751"/>
        <n v="0.0730236644031941"/>
        <n v="0.518335699816399"/>
        <n v="0.0766392733599744"/>
        <n v="0.585207568754908"/>
        <n v="0.0967472001045694"/>
        <n v="0.956989247311828"/>
        <n v="0.123478645143408"/>
        <n v="0.471907412024785"/>
        <n v="0.107195887801544"/>
        <n v="0.429897462142997"/>
        <n v="0.0901555115122338"/>
        <n v="0.103271056573178"/>
        <n v="0.134500407061637"/>
        <n v="0.677995146999474"/>
        <n v="0.114151813276002"/>
        <n v="0.543198351748373"/>
        <n v="0.108747791082928"/>
        <n v="0.59627172660584"/>
        <n v="0.136174733505155"/>
        <n v="0.997322619024111"/>
        <n v="0.163157794353051"/>
        <n v="0.110854799094739"/>
        <n v="0.0235833315318289"/>
        <n v="0.0733235575106767"/>
        <n v="0"/>
        <n v="0.112003584172041"/>
        <n v="0.0898026510133875"/>
        <n v="0.21997067253203"/>
        <n v="0.103695169473043"/>
        <n v="0.144513529178618"/>
        <n v="0.131653679712345"/>
        <n v="0.732106651303876"/>
        <n v="0.227184733698826"/>
        <n v="0.0451275300894902"/>
        <n v="0.0707499945954867"/>
        <n v="0.157524270452644"/>
        <n v="0.316358519698678"/>
        <n v="0.144004608221196"/>
        <n v="0.152683268579574"/>
        <n v="0.1632143308474"/>
        <n v="0.863507658157361"/>
        <n v="0.400222407579042"/>
        <n v="0.108901710467258"/>
        <n v="0.0587896351252215"/>
        <n v="0.0327912917891977"/>
        <n v="0.135649279180904"/>
        <n v="0.997308205077036"/>
        <n v="0.313164384590661"/>
        <n v="0.0401609664451249"/>
        <n v="0.160999651715416"/>
        <n v="0.128316225643684"/>
        <n v="0.930527345618558"/>
        <n v="0.314309278546856"/>
        <n v="0.0632534603801446"/>
        <n v="0.127000127000191"/>
        <n v="0.0864126412275354"/>
        <n v="0.263280147850004"/>
        <n v="0.24000768036866"/>
        <n v="0.152216108070243"/>
        <n v="0.139693012687492"/>
        <n v="0.820137102058707"/>
        <n v="0.617906600463065"/>
      </sharedItems>
    </cacheField>
    <cacheField name="informedness" numFmtId="0">
      <sharedItems containsSemiMixedTypes="0" containsString="0" containsNumber="1" minValue="-0.0231602540156892" maxValue="1" count="100">
        <n v="0.215357130818755"/>
        <n v="0.399253718421554"/>
        <n v="0.143730886850153"/>
        <n v="0.383044305386894"/>
        <n v="1"/>
        <n v="0.479941212123613"/>
        <n v="0.447927266369438"/>
        <n v="0.478611305580986"/>
        <n v="0.464036984321863"/>
        <n v="0.302466476385374"/>
        <n v="0.496492022179473"/>
        <n v="0.259096507873098"/>
        <n v="0.366838573063065"/>
        <n v="0.792392616870795"/>
        <n v="0.610051514779836"/>
        <n v="0.173986571760311"/>
        <n v="0.447994727212185"/>
        <n v="0.109805271439811"/>
        <n v="0.350632168505898"/>
        <n v="0.512389316476464"/>
        <n v="0.529147144112782"/>
        <n v="0.429740754656218"/>
        <n v="0.464052311154712"/>
        <n v="0.373304058999043"/>
        <n v="0.642628478901904"/>
        <n v="0.257282043515574"/>
        <n v="0.334364155426774"/>
        <n v="0.913586060748764"/>
        <n v="0.658821186778176"/>
        <n v="0.240411615642764"/>
        <n v="0.269379684458984"/>
        <n v="0.18758216199818"/>
        <n v="0.220712532478869"/>
        <n v="0.366268946754761"/>
        <n v="0.399217139062664"/>
        <n v="0.511083540115798"/>
        <n v="0.285429342210998"/>
        <n v="0.294580356498521"/>
        <n v="0.334029846349842"/>
        <n v="0.271677318705651"/>
        <n v="0.269443706715153"/>
        <n v="0.942652329749104"/>
        <n v="0.528970082656719"/>
        <n v="0.160988845342177"/>
        <n v="0.334326057190551"/>
        <n v="0.0960038027799632"/>
        <n v="0.253203992037739"/>
        <n v="0.577400028988775"/>
        <n v="0.447946344399105"/>
        <n v="0.49128160418483"/>
        <n v="0.480258414118093"/>
        <n v="0.347571884394769"/>
        <n v="0.464002558713333"/>
        <n v="0.253710666930536"/>
        <n v="0.383084526278862"/>
        <n v="0.707631732344951"/>
        <n v="0.0645704012753976"/>
        <n v="-0.00688983566646384"/>
        <n v="-0.017645059597403"/>
        <n v="-0.0231516056758775"/>
        <n v="0.0918787609746472"/>
        <n v="-0.00665766927350064"/>
        <n v="0.042823073303546"/>
        <n v="0.00981137540277333"/>
        <n v="0.212269953482287"/>
        <n v="0.173902021674377"/>
        <n v="-0.0231429637924598"/>
        <n v="0.570796676441838"/>
        <n v="0.108723871453008"/>
        <n v="0.00417440641680944"/>
        <n v="0.0261229458307974"/>
        <n v="0.141397438112397"/>
        <n v="0.0978077186878794"/>
        <n v="0.0263062584508402"/>
        <n v="0.228766325241398"/>
        <n v="0.239839476509381"/>
        <n v="0.823888847879399"/>
        <n v="0.372598491095494"/>
        <n v="0.0590950667723642"/>
        <n v="0.0260131870282703"/>
        <n v="-0.0176565244398749"/>
        <n v="-0.0231602540156892"/>
        <n v="0.12483920443301"/>
        <n v="0.994496299826358"/>
        <n v="0.103301268623849"/>
        <n v="-0.00672596961529626"/>
        <n v="0.24526868883954"/>
        <n v="0.206506089731118"/>
        <n v="0.878925004440437"/>
        <n v="0.207672715307652"/>
        <n v="0.0206236315713315"/>
        <n v="0.0427361816045451"/>
        <n v="0.0589308755760369"/>
        <n v="-0.00664916042304076"/>
        <n v="0.0812989956191756"/>
        <n v="0.0593128259609812"/>
        <n v="0.228758952261257"/>
        <n v="0.206736129801223"/>
        <n v="0.911928789268801"/>
        <n v="0.603735922521501"/>
      </sharedItems>
    </cacheField>
    <cacheField name="Markedness" numFmtId="0">
      <sharedItems containsSemiMixedTypes="0" containsString="0" containsNumber="1" minValue="-0.0231602540156892" maxValue="1" count="101">
        <n v="0.511563257822204"/>
        <n v="0.0340796623504585"/>
        <n v="0.499286442405708"/>
        <n v="0.036283665647127"/>
        <n v="1"/>
        <n v="0.0124726500678447"/>
        <n v="0.0337976295425604"/>
        <n v="0.648874561050026"/>
        <n v="0.0235250957863493"/>
        <n v="0.434724540901502"/>
        <n v="0.0238047975098692"/>
        <n v="0.640487774056991"/>
        <n v="0.0395140948846964"/>
        <n v="0.806230092633179"/>
        <n v="0.0215698828037183"/>
        <n v="0.451866756092108"/>
        <n v="0.0450774761602917"/>
        <n v="0.451080931263858"/>
        <n v="0.043309657532582"/>
        <n v="0.0126705406286558"/>
        <n v="0.0476583103658839"/>
        <n v="0.599490359889694"/>
        <n v="0.0245204924023583"/>
        <n v="0.419521753773614"/>
        <n v="0.028571387646197"/>
        <n v="0.584931813100827"/>
        <n v="0.0347606232588158"/>
        <n v="0.865857291821838"/>
        <n v="0.0254790577898962"/>
        <n v="0.490226224467384"/>
        <n v="0.0224297258154766"/>
        <n v="0.467557816289111"/>
        <n v="0.0204069916127787"/>
        <n v="0.00905718568052105"/>
        <n v="0.0296840549830186"/>
        <n v="0.617900338655056"/>
        <n v="0.0134741085046119"/>
        <n v="0.413295846181752"/>
        <n v="0.012661209392915"/>
        <n v="0.622601214728201"/>
        <n v="0.0293867045127947"/>
        <n v="0.942652329749104"/>
        <n v="0.0253578514739228"/>
        <n v="0.448781381711563"/>
        <n v="0.0295420663624726"/>
        <n v="0.425304878048781"/>
        <n v="0.0266355389008326"/>
        <n v="0.0151222146372279"/>
        <n v="0.0363906657798796"/>
        <n v="0.628378378378379"/>
        <n v="0.0233174284228359"/>
        <n v="0.426046471985766"/>
        <n v="0.0215439710934549"/>
        <n v="0.682181915177381"/>
        <n v="0.0438919437020795"/>
        <n v="0.994652406417112"/>
        <n v="0.0354649694266"/>
        <n v="0.121406038756196"/>
        <n v="0.0114638906961613"/>
        <n v="0.976978596316576"/>
        <n v="-0.0231516056758775"/>
        <n v="0.0900866462793069"/>
        <n v="0.477213298468435"/>
        <n v="0.728306944271288"/>
        <n v="0.310886644219978"/>
        <n v="0.0714232922371434"/>
        <n v="0.0699058733835734"/>
        <n v="-0.0231429637924598"/>
        <n v="0.913228438228438"/>
        <n v="0.379691613388492"/>
        <n v="0.0530502617442776"/>
        <n v="0.0811841249186729"/>
        <n v="0.133953269377906"/>
        <n v="0.825681994949252"/>
        <n v="0.406490590248075"/>
        <n v="0.0757167923663757"/>
        <n v="0.0850007668319615"/>
        <n v="0.896516653953725"/>
        <n v="0.399294820350222"/>
        <n v="0.125508729011453"/>
        <n v="0.0490546616826482"/>
        <n v="0.176967131474104"/>
        <n v="-0.0231602540156892"/>
        <n v="0.106438477490711"/>
        <n v="0.999872643912379"/>
        <n v="0.772748802921217"/>
        <n v="0.0771449981266392"/>
        <n v="0.0802214029216748"/>
        <n v="0.0536163047848814"/>
        <n v="0.979240502476622"/>
        <n v="0.419366263694749"/>
        <n v="0.0706361346971129"/>
        <n v="0.228220052572287"/>
        <n v="0.070878306878307"/>
        <n v="0.977221807318895"/>
        <n v="0.657719886556196"/>
        <n v="0.692953378956373"/>
        <n v="0.075133478683086"/>
        <n v="0.0673494312747391"/>
        <n v="0.733881030575881"/>
        <n v="0.613783516387181"/>
      </sharedItems>
    </cacheField>
    <cacheField name="Diagnostic odds ratio" numFmtId="0">
      <sharedItems containsSemiMixedTypes="0" containsString="0" containsNumber="1" minValue="0" maxValue="19454.0107658542" count="94">
        <n v="8.98883276126875"/>
        <n v="10.5527674987407"/>
        <n v="8.07503276539974"/>
        <n v="10.9169582827461"/>
        <n v="0"/>
        <n v="5.14403285948223"/>
        <n v="11.3088975490917"/>
        <n v="22.4305045673994"/>
        <n v="8.37502147202383"/>
        <n v="7.05721657307634"/>
        <n v="8.94496009039726"/>
        <n v="18.0917325430703"/>
        <n v="11.5480687087357"/>
        <n v="110.182158612179"/>
        <n v="10.3070405868906"/>
        <n v="6.72792170982552"/>
        <n v="14.8659010925766"/>
        <n v="6.38946398184912"/>
        <n v="12.3074200620059"/>
        <n v="5.4906858069402"/>
        <n v="18.2201215950647"/>
        <n v="16.4696266456491"/>
        <n v="8.68534106421704"/>
        <n v="7.20513062925026"/>
        <n v="14.4241935485497"/>
        <n v="13.192130496856"/>
        <n v="9.79417911789204"/>
        <n v="359.719309887193"/>
        <n v="13.5345877723936"/>
        <n v="8.35298176375136"/>
        <n v="6.13798309881131"/>
        <n v="7.26294488363454"/>
        <n v="5.37512732318318"/>
        <n v="3.52753033873611"/>
        <n v="9.30140045438531"/>
        <n v="19.8708074534161"/>
        <n v="4.19361047363716"/>
        <n v="6.4413422818792"/>
        <n v="4.245461782253"/>
        <n v="16.3611564722329"/>
        <n v="7.74635223716921"/>
        <n v="1529.6875"/>
        <n v="10.0445203935939"/>
        <n v="6.57450645980808"/>
        <n v="8.45084121030197"/>
        <n v="5.68155371439211"/>
        <n v="6.97195631407231"/>
        <n v="7.10863318807172"/>
        <n v="12.11811182856"/>
        <n v="20.4222972972973"/>
        <n v="8.5397252020189"/>
        <n v="7.16658670997314"/>
        <n v="7.76048518756207"/>
        <n v="24.0175284837862"/>
        <n v="13.0688363100503"/>
        <n v="21.4126561675135"/>
        <n v="7.53194841343477"/>
        <n v="1.49693186337325"/>
        <n v="5.82267948985266"/>
        <n v="41.9240524933097"/>
        <n v="132.425652059895"/>
        <n v="21.3188084549196"/>
        <n v="5.34905532805049"/>
        <n v="5.04705336725821"/>
        <n v="1195.9506993007"/>
        <n v="31.6525055831813"/>
        <n v="3.4746512443083"/>
        <n v="5.00404442695137"/>
        <n v="8.96832280191117"/>
        <n v="257.905580665"/>
        <n v="32.5323870267939"/>
        <n v="5.72799557007555"/>
        <n v="6.42929013779261"/>
        <n v="2213.48418640912"/>
        <n v="47.9081980148432"/>
        <n v="7.74532184708561"/>
        <n v="3.33565512150576"/>
        <n v="10.3650931745989"/>
        <n v="7.022018840853"/>
        <n v="180.876790004474"/>
        <n v="4.65790247740877"/>
        <n v="6.14029853598445"/>
        <n v="4.20539247909353"/>
        <n v="19454.0107658542"/>
        <n v="41.6361298255188"/>
        <n v="4.42249421614041"/>
        <n v="14.7126544688602"/>
        <n v="4.58319676742878"/>
        <n v="97.1780414698135"/>
        <n v="112.332161335224"/>
        <n v="5.68933712927751"/>
        <n v="5.05902330369702"/>
        <n v="1364.68680302668"/>
        <n v="178.50425427087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54.5073726852" refreshedBy="Stella" recordCount="128">
  <cacheSource type="worksheet">
    <worksheetSource ref="A1:J129" sheet="bothDataOutcomes"/>
  </cacheSource>
  <cacheFields count="10">
    <cacheField name="Classifier Name" numFmtId="0">
      <sharedItems count="8">
        <s v="LDA"/>
        <s v="LogReg"/>
        <s v="DTrees"/>
        <s v="RForest"/>
        <s v="KNN"/>
        <s v="Naive Bayes"/>
        <s v="SVM"/>
        <s v="Neural Network"/>
      </sharedItems>
    </cacheField>
    <cacheField name="Set Type" numFmtId="0">
      <sharedItems count="2">
        <s v="Train"/>
        <s v="Test"/>
      </sharedItems>
    </cacheField>
    <cacheField name="Balance" numFmtId="0">
      <sharedItems count="2">
        <s v="Balanced"/>
        <s v="Unbalanced"/>
      </sharedItems>
    </cacheField>
    <cacheField name="N training samples" numFmtId="0">
      <sharedItems containsSemiMixedTypes="0" containsString="0" containsNumber="1" containsInteger="1" minValue="0" maxValue="8037" count="2">
        <n v="744"/>
        <n v="8037"/>
      </sharedItems>
    </cacheField>
    <cacheField name="N non-healthy companies in training sample" numFmtId="0">
      <sharedItems containsSemiMixedTypes="0" containsString="0" containsNumber="1" containsInteger="1" minValue="0" maxValue="186" count="1">
        <n v="186"/>
      </sharedItems>
    </cacheField>
    <cacheField name="TP" numFmtId="0">
      <sharedItems containsSemiMixedTypes="0" containsString="0" containsNumber="1" containsInteger="1" minValue="0" maxValue="186" count="64">
        <n v="73"/>
        <n v="25"/>
        <n v="62"/>
        <n v="24"/>
        <n v="186"/>
        <n v="30"/>
        <n v="28"/>
        <n v="112"/>
        <n v="29"/>
        <n v="87"/>
        <n v="31"/>
        <n v="79"/>
        <n v="23"/>
        <n v="157"/>
        <n v="38"/>
        <n v="67"/>
        <n v="57"/>
        <n v="22"/>
        <n v="32"/>
        <n v="33"/>
        <n v="105"/>
        <n v="98"/>
        <n v="40"/>
        <n v="21"/>
        <n v="174"/>
        <n v="41"/>
        <n v="77"/>
        <n v="17"/>
        <n v="69"/>
        <n v="14"/>
        <n v="117"/>
        <n v="18"/>
        <n v="86"/>
        <n v="81"/>
        <n v="178"/>
        <n v="65"/>
        <n v="55"/>
        <n v="16"/>
        <n v="36"/>
        <n v="114"/>
        <n v="94"/>
        <n v="78"/>
        <n v="44"/>
        <n v="1"/>
        <n v="0"/>
        <n v="7"/>
        <n v="12"/>
        <n v="2"/>
        <n v="43"/>
        <n v="108"/>
        <n v="8"/>
        <n v="5"/>
        <n v="3"/>
        <n v="10"/>
        <n v="46"/>
        <n v="154"/>
        <n v="15"/>
        <n v="9"/>
        <n v="185"/>
        <n v="49"/>
        <n v="164"/>
        <n v="4"/>
        <n v="19"/>
        <n v="170"/>
      </sharedItems>
    </cacheField>
    <cacheField name="TN" numFmtId="0">
      <sharedItems containsSemiMixedTypes="0" containsString="0" containsNumber="1" containsInteger="1" minValue="0" maxValue="9469" count="84">
        <n v="525"/>
        <n v="9278"/>
        <n v="530"/>
        <n v="9339"/>
        <n v="558"/>
        <n v="8111"/>
        <n v="9191"/>
        <n v="8874"/>
        <n v="500"/>
        <n v="8806"/>
        <n v="539"/>
        <n v="9406"/>
        <n v="532"/>
        <n v="8392"/>
        <n v="520"/>
        <n v="9363"/>
        <n v="527"/>
        <n v="9469"/>
        <n v="7992"/>
        <n v="9293"/>
        <n v="8911"/>
        <n v="485"/>
        <n v="8664"/>
        <n v="9394"/>
        <n v="536"/>
        <n v="8484"/>
        <n v="519"/>
        <n v="9303"/>
        <n v="521"/>
        <n v="9375"/>
        <n v="8261"/>
        <n v="9193"/>
        <n v="516"/>
        <n v="8948"/>
        <n v="496"/>
        <n v="8720"/>
        <n v="9429"/>
        <n v="550"/>
        <n v="8791"/>
        <n v="9312"/>
        <n v="9418"/>
        <n v="7986"/>
        <n v="9239"/>
        <n v="8826"/>
        <n v="491"/>
        <n v="8792"/>
        <n v="544"/>
        <n v="9433"/>
        <n v="557"/>
        <n v="8781"/>
        <n v="7755"/>
        <n v="2589"/>
        <n v="7851"/>
        <n v="2616"/>
        <n v="2561"/>
        <n v="7847"/>
        <n v="2613"/>
        <n v="7418"/>
        <n v="2495"/>
        <n v="2617"/>
        <n v="7842"/>
        <n v="2605"/>
        <n v="7790"/>
        <n v="2591"/>
        <n v="2562"/>
        <n v="7409"/>
        <n v="2478"/>
        <n v="7834"/>
        <n v="2583"/>
        <n v="7764"/>
        <n v="2578"/>
        <n v="2615"/>
        <n v="2555"/>
        <n v="7845"/>
        <n v="2608"/>
        <n v="7402"/>
        <n v="2439"/>
        <n v="7848"/>
        <n v="2599"/>
        <n v="7773"/>
        <n v="2568"/>
        <n v="7406"/>
        <n v="2469"/>
        <n v="2594"/>
      </sharedItems>
    </cacheField>
    <cacheField name="FP" numFmtId="0">
      <sharedItems containsSemiMixedTypes="0" containsString="0" containsNumber="1" containsInteger="1" minValue="0" maxValue="1924" count="75">
        <n v="33"/>
        <n v="632"/>
        <n v="28"/>
        <n v="571"/>
        <n v="0"/>
        <n v="1799"/>
        <n v="719"/>
        <n v="1036"/>
        <n v="58"/>
        <n v="1104"/>
        <n v="19"/>
        <n v="504"/>
        <n v="26"/>
        <n v="1518"/>
        <n v="38"/>
        <n v="547"/>
        <n v="31"/>
        <n v="441"/>
        <n v="1918"/>
        <n v="617"/>
        <n v="999"/>
        <n v="73"/>
        <n v="1246"/>
        <n v="516"/>
        <n v="22"/>
        <n v="1426"/>
        <n v="39"/>
        <n v="607"/>
        <n v="37"/>
        <n v="535"/>
        <n v="1649"/>
        <n v="717"/>
        <n v="42"/>
        <n v="962"/>
        <n v="62"/>
        <n v="1190"/>
        <n v="481"/>
        <n v="8"/>
        <n v="1119"/>
        <n v="598"/>
        <n v="492"/>
        <n v="1924"/>
        <n v="671"/>
        <n v="1084"/>
        <n v="67"/>
        <n v="1118"/>
        <n v="14"/>
        <n v="477"/>
        <n v="1"/>
        <n v="1129"/>
        <n v="96"/>
        <n v="56"/>
        <n v="4"/>
        <n v="433"/>
        <n v="122"/>
        <n v="9"/>
        <n v="12"/>
        <n v="61"/>
        <n v="55"/>
        <n v="442"/>
        <n v="139"/>
        <n v="17"/>
        <n v="34"/>
        <n v="87"/>
        <n v="2"/>
        <n v="6"/>
        <n v="449"/>
        <n v="178"/>
        <n v="3"/>
        <n v="18"/>
        <n v="78"/>
        <n v="49"/>
        <n v="445"/>
        <n v="148"/>
        <n v="23"/>
      </sharedItems>
    </cacheField>
    <cacheField name="FN" numFmtId="0">
      <sharedItems containsSemiMixedTypes="0" containsString="0" containsNumber="1" containsInteger="1" minValue="0" maxValue="186" count="69">
        <n v="113"/>
        <n v="37"/>
        <n v="124"/>
        <n v="38"/>
        <n v="0"/>
        <n v="32"/>
        <n v="34"/>
        <n v="74"/>
        <n v="33"/>
        <n v="99"/>
        <n v="31"/>
        <n v="107"/>
        <n v="39"/>
        <n v="29"/>
        <n v="24"/>
        <n v="119"/>
        <n v="129"/>
        <n v="40"/>
        <n v="30"/>
        <n v="81"/>
        <n v="88"/>
        <n v="22"/>
        <n v="41"/>
        <n v="12"/>
        <n v="21"/>
        <n v="109"/>
        <n v="45"/>
        <n v="117"/>
        <n v="48"/>
        <n v="69"/>
        <n v="44"/>
        <n v="100"/>
        <n v="105"/>
        <n v="8"/>
        <n v="121"/>
        <n v="131"/>
        <n v="46"/>
        <n v="26"/>
        <n v="72"/>
        <n v="92"/>
        <n v="108"/>
        <n v="18"/>
        <n v="170"/>
        <n v="61"/>
        <n v="185"/>
        <n v="62"/>
        <n v="55"/>
        <n v="174"/>
        <n v="60"/>
        <n v="143"/>
        <n v="50"/>
        <n v="186"/>
        <n v="78"/>
        <n v="54"/>
        <n v="181"/>
        <n v="59"/>
        <n v="52"/>
        <n v="164"/>
        <n v="140"/>
        <n v="171"/>
        <n v="53"/>
        <n v="1"/>
        <n v="163"/>
        <n v="137"/>
        <n v="178"/>
        <n v="58"/>
        <n v="57"/>
        <n v="167"/>
        <n v="16"/>
      </sharedItems>
    </cacheField>
    <cacheField name="ROC-AUC" numFmtId="0">
      <sharedItems containsSemiMixedTypes="0" containsString="0" containsNumber="1" minValue="0" maxValue="1" count="99">
        <n v="0.666666666666666"/>
        <n v="0.669725920380196"/>
        <n v="0.641577060931899"/>
        <n v="0.664739103544806"/>
        <n v="1"/>
        <n v="0.651168581751896"/>
        <n v="0.689529963217343"/>
        <n v="0.771505376344086"/>
        <n v="0.681600533836789"/>
        <n v="0.681899641577061"/>
        <n v="0.694298688193743"/>
        <n v="0.695340501792114"/>
        <n v="0.660055011230103"/>
        <n v="0.898745519713261"/>
        <n v="0.729862309169623"/>
        <n v="0.646057347670251"/>
        <n v="0.69820806614368"/>
        <n v="0.625448028673835"/>
        <n v="0.655169102568275"/>
        <n v="0.661293577683018"/>
        <n v="0.734998860714169"/>
        <n v="0.748207885304659"/>
        <n v="0.683467335047687"/>
        <n v="0.698028673835125"/>
        <n v="0.759714853032127"/>
        <n v="0.689068100358423"/>
        <n v="0.643320529930666"/>
        <n v="0.948028673835125"/>
        <n v="0.758697633540574"/>
        <n v="0.672043010752688"/>
        <n v="0.606471143517463"/>
        <n v="0.652329749103942"/>
        <n v="0.585910289378601"/>
        <n v="0.602285081865824"/>
        <n v="0.665437323003808"/>
        <n v="0.776881720430107"/>
        <n v="0.59662445883923"/>
        <n v="0.675627240143369"/>
        <n v="0.609314475440252"/>
        <n v="0.612828358451873"/>
        <n v="0.971326164874551"/>
        <n v="0.709670909150092"/>
        <n v="0.639183294814621"/>
        <n v="0.618279569892473"/>
        <n v="0.604208847368249"/>
        <n v="0.693248917678461"/>
        <n v="0.691951759382832"/>
        <n v="0.772401433691756"/>
        <n v="0.687243253800332"/>
        <n v="0.692652329749104"/>
        <n v="0.677463298720744"/>
        <n v="0.697132616487455"/>
        <n v="0.669481787702223"/>
        <n v="0.999103942652329"/>
        <n v="0.797876045701637"/>
        <n v="0.536896881843693"/>
        <n v="0.502714879140113"/>
        <n v="0.50268817204301"/>
        <n v="0.49980894153611"/>
        <n v="0.545752338925388"/>
        <n v="0.507873457665142"/>
        <n v="0.532003319897609"/>
        <n v="0.515364798402504"/>
        <n v="0.588015292894679"/>
        <n v="0.573465060953813"/>
        <n v="0.5"/>
        <n v="0.789749405253491"/>
        <n v="0.562223427465578"/>
        <n v="0.509556004782624"/>
        <n v="0.519226028325958"/>
        <n v="0.570136945776375"/>
        <n v="0.558885040327716"/>
        <n v="0.523429314531537"/>
        <n v="0.595506633632041"/>
        <n v="0.602475131583813"/>
        <n v="0.912895829994946"/>
        <n v="0.687052399324515"/>
        <n v="0.534781885192352"/>
        <n v="0.516742268295388"/>
        <n v="0.50243342742449"/>
        <n v="0.49961788307222"/>
        <n v="0.560735020400113"/>
        <n v="0.997311827956989"/>
        <n v="0.561445840061467"/>
        <n v="0.506344989954022"/>
        <n v="0.603125346678664"/>
        <n v="0.57889481923404"/>
        <n v="0.940669156589873"/>
        <n v="0.609464173456432"/>
        <n v="0.516537856282947"/>
        <n v="0.529965362949449"/>
        <n v="0.530960715914553"/>
        <n v="0.508064516129032"/>
        <n v="0.550502093425534"/>
        <n v="0.539940463717381"/>
        <n v="0.595315575168152"/>
        <n v="0.584626573150739"/>
        <n v="0.953104391879399"/>
        <n v="0.802057268233756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56.9306712963" refreshedBy="Stella" recordCount="128">
  <cacheSource type="worksheet">
    <worksheetSource ref="A1:N129" sheet="Threshold2"/>
  </cacheSource>
  <cacheFields count="14">
    <cacheField name="Classifier Name" numFmtId="0">
      <sharedItems count="8">
        <s v="LDA"/>
        <s v="LogReg"/>
        <s v="DTrees"/>
        <s v="RForest"/>
        <s v="KNN"/>
        <s v="Naive Bayes"/>
        <s v="SVM"/>
        <s v="Neural Network"/>
      </sharedItems>
    </cacheField>
    <cacheField name="Set Type" numFmtId="0">
      <sharedItems count="2">
        <s v="Train"/>
        <s v="Test"/>
      </sharedItems>
    </cacheField>
    <cacheField name="Balance" numFmtId="0">
      <sharedItems count="2">
        <s v="Balanced"/>
        <s v="Unbalanced"/>
      </sharedItems>
    </cacheField>
    <cacheField name="N training samples" numFmtId="0">
      <sharedItems containsSemiMixedTypes="0" containsString="0" containsNumber="1" containsInteger="1" minValue="744" maxValue="8037" count="2">
        <n v="744"/>
        <n v="8037"/>
      </sharedItems>
    </cacheField>
    <cacheField name="N non-healthy companies in training sample" numFmtId="0">
      <sharedItems containsSemiMixedTypes="0" containsString="0" containsNumber="1" containsInteger="1" minValue="186" maxValue="186" count="1">
        <n v="186"/>
      </sharedItems>
    </cacheField>
    <cacheField name="TP" numFmtId="0">
      <sharedItems containsSemiMixedTypes="0" containsString="0" containsNumber="1" containsInteger="1" minValue="0" maxValue="186" count="64">
        <n v="67"/>
        <n v="27"/>
        <n v="58"/>
        <n v="26"/>
        <n v="186"/>
        <n v="29"/>
        <n v="112"/>
        <n v="36"/>
        <n v="82"/>
        <n v="31"/>
        <n v="79"/>
        <n v="172"/>
        <n v="46"/>
        <n v="62"/>
        <n v="52"/>
        <n v="18"/>
        <n v="37"/>
        <n v="30"/>
        <n v="100"/>
        <n v="33"/>
        <n v="97"/>
        <n v="42"/>
        <n v="64"/>
        <n v="19"/>
        <n v="168"/>
        <n v="88"/>
        <n v="20"/>
        <n v="73"/>
        <n v="16"/>
        <n v="28"/>
        <n v="23"/>
        <n v="117"/>
        <n v="110"/>
        <n v="24"/>
        <n v="93"/>
        <n v="17"/>
        <n v="182"/>
        <n v="21"/>
        <n v="32"/>
        <n v="116"/>
        <n v="34"/>
        <n v="90"/>
        <n v="80"/>
        <n v="184"/>
        <n v="53"/>
        <n v="1"/>
        <n v="0"/>
        <n v="7"/>
        <n v="12"/>
        <n v="2"/>
        <n v="43"/>
        <n v="121"/>
        <n v="14"/>
        <n v="5"/>
        <n v="3"/>
        <n v="22"/>
        <n v="162"/>
        <n v="15"/>
        <n v="10"/>
        <n v="185"/>
        <n v="49"/>
        <n v="8"/>
        <n v="4"/>
        <n v="180"/>
      </sharedItems>
    </cacheField>
    <cacheField name="TN" numFmtId="0">
      <sharedItems containsSemiMixedTypes="0" containsString="0" containsNumber="1" containsInteger="1" minValue="476" maxValue="9561" count="87">
        <n v="525"/>
        <n v="9317"/>
        <n v="528"/>
        <n v="9405"/>
        <n v="558"/>
        <n v="8130"/>
        <n v="9245"/>
        <n v="516"/>
        <n v="8828"/>
        <n v="490"/>
        <n v="8879"/>
        <n v="533"/>
        <n v="9334"/>
        <n v="500"/>
        <n v="7840"/>
        <n v="524"/>
        <n v="9470"/>
        <n v="530"/>
        <n v="9561"/>
        <n v="8087"/>
        <n v="9393"/>
        <n v="515"/>
        <n v="8979"/>
        <n v="476"/>
        <n v="8692"/>
        <n v="538"/>
        <n v="9531"/>
        <n v="545"/>
        <n v="8870"/>
        <n v="517"/>
        <n v="9168"/>
        <n v="9276"/>
        <n v="7929"/>
        <n v="9122"/>
        <n v="8873"/>
        <n v="8641"/>
        <n v="9322"/>
        <n v="549"/>
        <n v="8627"/>
        <n v="527"/>
        <n v="9265"/>
        <n v="9363"/>
        <n v="7998"/>
        <n v="9113"/>
        <n v="8815"/>
        <n v="497"/>
        <n v="8805"/>
        <n v="536"/>
        <n v="9342"/>
        <n v="554"/>
        <n v="8612"/>
        <n v="7755"/>
        <n v="2589"/>
        <n v="7851"/>
        <n v="2616"/>
        <n v="2558"/>
        <n v="7847"/>
        <n v="2613"/>
        <n v="7418"/>
        <n v="2495"/>
        <n v="2617"/>
        <n v="7818"/>
        <n v="2588"/>
        <n v="7790"/>
        <n v="2591"/>
        <n v="2561"/>
        <n v="7409"/>
        <n v="2478"/>
        <n v="7815"/>
        <n v="2573"/>
        <n v="7764"/>
        <n v="2578"/>
        <n v="2615"/>
        <n v="7845"/>
        <n v="2608"/>
        <n v="7402"/>
        <n v="2439"/>
        <n v="7841"/>
        <n v="2590"/>
        <n v="7773"/>
        <n v="2605"/>
        <n v="2563"/>
        <n v="7842"/>
        <n v="7406"/>
        <n v="2469"/>
        <n v="7848"/>
        <n v="2600"/>
      </sharedItems>
    </cacheField>
    <cacheField name="FP" numFmtId="0">
      <sharedItems containsSemiMixedTypes="0" containsString="0" containsNumber="1" containsInteger="1" minValue="0" maxValue="2070" count="78">
        <n v="33"/>
        <n v="593"/>
        <n v="30"/>
        <n v="505"/>
        <n v="0"/>
        <n v="1780"/>
        <n v="665"/>
        <n v="42"/>
        <n v="1082"/>
        <n v="68"/>
        <n v="1031"/>
        <n v="25"/>
        <n v="576"/>
        <n v="58"/>
        <n v="2070"/>
        <n v="34"/>
        <n v="440"/>
        <n v="28"/>
        <n v="349"/>
        <n v="1823"/>
        <n v="517"/>
        <n v="43"/>
        <n v="931"/>
        <n v="82"/>
        <n v="1218"/>
        <n v="20"/>
        <n v="379"/>
        <n v="13"/>
        <n v="1040"/>
        <n v="41"/>
        <n v="742"/>
        <n v="634"/>
        <n v="1981"/>
        <n v="788"/>
        <n v="1037"/>
        <n v="1269"/>
        <n v="588"/>
        <n v="9"/>
        <n v="1283"/>
        <n v="31"/>
        <n v="645"/>
        <n v="547"/>
        <n v="1912"/>
        <n v="797"/>
        <n v="1095"/>
        <n v="61"/>
        <n v="1105"/>
        <n v="22"/>
        <n v="568"/>
        <n v="4"/>
        <n v="1298"/>
        <n v="96"/>
        <n v="1"/>
        <n v="59"/>
        <n v="433"/>
        <n v="122"/>
        <n v="29"/>
        <n v="26"/>
        <n v="56"/>
        <n v="442"/>
        <n v="139"/>
        <n v="36"/>
        <n v="44"/>
        <n v="87"/>
        <n v="39"/>
        <n v="2"/>
        <n v="6"/>
        <n v="449"/>
        <n v="178"/>
        <n v="10"/>
        <n v="27"/>
        <n v="78"/>
        <n v="12"/>
        <n v="54"/>
        <n v="445"/>
        <n v="148"/>
        <n v="3"/>
        <n v="17"/>
      </sharedItems>
    </cacheField>
    <cacheField name="FN" numFmtId="0">
      <sharedItems containsSemiMixedTypes="0" containsString="0" containsNumber="1" containsInteger="1" minValue="0" maxValue="186" count="73">
        <n v="119"/>
        <n v="35"/>
        <n v="128"/>
        <n v="36"/>
        <n v="0"/>
        <n v="33"/>
        <n v="74"/>
        <n v="26"/>
        <n v="104"/>
        <n v="31"/>
        <n v="107"/>
        <n v="14"/>
        <n v="16"/>
        <n v="124"/>
        <n v="134"/>
        <n v="44"/>
        <n v="25"/>
        <n v="32"/>
        <n v="86"/>
        <n v="29"/>
        <n v="89"/>
        <n v="20"/>
        <n v="122"/>
        <n v="43"/>
        <n v="18"/>
        <n v="98"/>
        <n v="42"/>
        <n v="113"/>
        <n v="46"/>
        <n v="34"/>
        <n v="39"/>
        <n v="69"/>
        <n v="76"/>
        <n v="38"/>
        <n v="93"/>
        <n v="45"/>
        <n v="4"/>
        <n v="41"/>
        <n v="30"/>
        <n v="70"/>
        <n v="28"/>
        <n v="96"/>
        <n v="106"/>
        <n v="2"/>
        <n v="9"/>
        <n v="170"/>
        <n v="61"/>
        <n v="185"/>
        <n v="62"/>
        <n v="55"/>
        <n v="174"/>
        <n v="60"/>
        <n v="143"/>
        <n v="50"/>
        <n v="186"/>
        <n v="65"/>
        <n v="48"/>
        <n v="181"/>
        <n v="59"/>
        <n v="164"/>
        <n v="140"/>
        <n v="24"/>
        <n v="171"/>
        <n v="52"/>
        <n v="1"/>
        <n v="163"/>
        <n v="137"/>
        <n v="40"/>
        <n v="178"/>
        <n v="58"/>
        <n v="167"/>
        <n v="57"/>
        <n v="6"/>
      </sharedItems>
    </cacheField>
    <cacheField name="ROC-AUC" numFmtId="0">
      <sharedItems count="100">
        <s v="0.6505376344086022"/>
        <s v="0.6878226620227207"/>
        <s v="0.6290322580645161"/>
        <s v="0.684198105530419"/>
        <s v="1.0"/>
        <s v="0.6198691448846066"/>
        <s v="0.700319000032551"/>
        <s v="0.7634408602150538"/>
        <s v="0.7357312587480875"/>
        <s v="0.6594982078853047"/>
        <s v="0.6979818365287588"/>
        <s v="0.6899641577060932"/>
        <s v="0.7048094137560627"/>
        <s v="0.910394265232975"/>
        <s v="0.7665277822987533"/>
        <s v="0.6362007168458781"/>
        <s v="0.6874776211711859"/>
        <s v="0.6146953405017921"/>
        <s v="0.6275528140360015"/>
        <s v="0.7064092965723772"/>
        <s v="0.7158507210051757"/>
        <s v="0.7302867383512545"/>
        <s v="0.7191562774649263"/>
        <s v="0.6872759856630826"/>
        <s v="0.7772565997200611"/>
        <s v="0.6541218637992832"/>
        <s v="0.6341037075616028"/>
        <s v="0.9399641577060932"/>
        <s v="0.7378503303928909"/>
        <s v="0.6998207885304659"/>
        <s v="0.6238533901891214"/>
        <s v="0.6666666666666667"/>
        <s v="0.5970443670453436"/>
        <s v="0.6258569056996843"/>
        <s v="0.6457260505842909"/>
        <s v="0.7876344086021505"/>
        <s v="0.5928404023306533"/>
        <s v="0.7347670250896057"/>
        <s v="0.6295221509716481"/>
        <s v="0.732078853046595"/>
        <s v="0.6074297711663031"/>
        <s v="0.9811827956989247"/>
        <s v="0.733654503434133"/>
        <s v="0.6684587813620072"/>
        <s v="0.6368119527359135"/>
        <s v="0.6469534050179212"/>
        <s v="0.6336919371114221"/>
        <s v="0.6696608183327366"/>
        <s v="0.7178526089645519"/>
        <s v="0.7741935483870968"/>
        <s v="0.7189463233618697"/>
        <s v="0.6781192018488983"/>
        <s v="0.6953405017921147"/>
        <s v="0.6568259496761173"/>
        <s v="0.9910394265232975"/>
        <s v="0.8619299501969337"/>
        <s v="0.5368968818436936"/>
        <s v="0.5027148791401136"/>
        <s v="0.5026881720430108"/>
        <s v="0.49980894153611005"/>
        <s v="0.5451791635337186"/>
        <s v="0.5078734576651422"/>
        <s v="0.5320033198976091"/>
        <s v="0.5153647984025047"/>
        <s v="0.5880152928946796"/>
        <s v="0.5734650609538131"/>
        <s v="0.5"/>
        <s v="0.8231671741015115"/>
        <s v="0.6073625303536431"/>
        <s v="0.5095560047826247"/>
        <s v="0.5192260283259581"/>
        <s v="0.5860749195705499"/>
        <s v="0.5588850403277166"/>
        <s v="0.523429314531537"/>
        <s v="0.5955066336320419"/>
        <s v="0.602475131583813"/>
        <s v="0.9331911694010626"/>
        <s v="0.6367547179114228"/>
        <s v="0.5347818851923527"/>
        <s v="0.5167422682953887"/>
        <s v="0.5024334274244908"/>
        <s v="0.4996178830722201"/>
        <s v="0.5699458873124854"/>
        <s v="0.9973118279569892"/>
        <s v="0.5614458400614675"/>
        <s v="0.5063449899540227"/>
        <s v="0.6031253466786644"/>
        <s v="0.5788948192340405"/>
        <s v="0.9509760416795067"/>
        <s v="0.6722607763136811"/>
        <s v="0.5165378562829472"/>
        <s v="0.5299653629494496"/>
        <s v="0.5219409074660717"/>
        <s v="0.5080645161290323"/>
        <s v="0.5505020934255345"/>
        <s v="0.5399404637173815"/>
        <s v="0.595315575168152"/>
        <s v="0.584626573150739"/>
        <s v="0.9836799092780455"/>
        <s v="0.7386874899848386"/>
      </sharedItems>
    </cacheField>
    <cacheField name="Accuracy" numFmtId="0">
      <sharedItems containsSemiMixedTypes="0" containsString="0" containsNumber="1" minValue="0.768817204301075" maxValue="1" count="92">
        <n v="0.795698924731183"/>
        <n v="0.937023666265544"/>
        <n v="0.787634408602151"/>
        <n v="0.945748094665062"/>
        <n v="1"/>
        <n v="0.817890092258323"/>
        <n v="0.930004011231448"/>
        <n v="0.844086021505376"/>
        <n v="0.888888888888889"/>
        <n v="0.768817204301075"/>
        <n v="0.893501805054152"/>
        <n v="0.82258064516129"/>
        <n v="0.938929001203369"/>
        <n v="0.903225806451613"/>
        <n v="0.790814279983955"/>
        <n v="0.952266345768151"/>
        <n v="0.782258064516129"/>
        <n v="0.960589651022864"/>
        <n v="0.81468110709988"/>
        <n v="0.944945848375451"/>
        <n v="0.826612903225807"/>
        <n v="0.903730445246691"/>
        <n v="0.770161290322581"/>
        <n v="0.875852386682712"/>
        <n v="0.809139784946237"/>
        <n v="0.957681508223025"/>
        <n v="0.958333333333333"/>
        <n v="0.893100681909346"/>
        <n v="0.813172043010753"/>
        <n v="0.921379863618131"/>
        <n v="0.803763440860215"/>
        <n v="0.931809065383073"/>
        <n v="0.797934215804252"/>
        <n v="0.917067789811472"/>
        <n v="0.866935483870968"/>
        <n v="0.891596470116326"/>
        <n v="0.806451612903226"/>
        <n v="0.868933012434818"/>
        <n v="0.848118279569893"/>
        <n v="0.936522262334537"/>
        <n v="0.98252688172043"/>
        <n v="0.868832731648616"/>
        <n v="0.931207380665864"/>
        <n v="0.798387096774194"/>
        <n v="0.940934616927397"/>
        <n v="0.805354993983153"/>
        <n v="0.849462365591398"/>
        <n v="0.887384677095868"/>
        <n v="0.788978494623656"/>
        <n v="0.885880465302848"/>
        <n v="0.827956989247312"/>
        <n v="0.939129562775772"/>
        <n v="0.991935483870968"/>
        <n v="0.966903073286052"/>
        <n v="0.966778648749534"/>
        <n v="0.976981460744059"/>
        <n v="0.976483762597984"/>
        <n v="0.957446808510638"/>
        <n v="0.97685703620754"/>
        <n v="0.977852432499689"/>
        <n v="0.976110488988429"/>
        <n v="0.928331466965286"/>
        <n v="0.935796939156402"/>
        <n v="0.987806395421177"/>
        <n v="0.971257932064203"/>
        <n v="0.969889262162499"/>
        <n v="0.968271743187757"/>
        <n v="0.960432997387085"/>
        <n v="0.979096677864875"/>
        <n v="0.927584919746174"/>
        <n v="0.930944382232176"/>
        <n v="0.992534527808884"/>
        <n v="0.967151922359089"/>
        <n v="0.967898469578201"/>
        <n v="0.963419186263531"/>
        <n v="0.959686450167973"/>
        <n v="0.999875575463481"/>
        <n v="0.978972253328356"/>
        <n v="0.973870847331094"/>
        <n v="0.9270872216001"/>
        <n v="0.915640164240388"/>
        <n v="0.996516112977479"/>
        <n v="0.974990668159761"/>
        <n v="0.968147318651238"/>
        <n v="0.95819335572975"/>
        <n v="0.977230309817096"/>
        <n v="0.978101281572726"/>
        <n v="0.977976857036208"/>
        <n v="0.927211646136618"/>
        <n v="0.926838372527062"/>
        <n v="0.998880179171333"/>
        <n v="0.981709593131766"/>
      </sharedItems>
    </cacheField>
    <cacheField name="Precision" numFmtId="0">
      <sharedItems containsSemiMixedTypes="0" containsString="0" containsNumber="1" minValue="0" maxValue="1" count="96">
        <n v="0.67"/>
        <n v="0.0435483870967742"/>
        <n v="0.659090909090909"/>
        <n v="0.0489642184557439"/>
        <n v="1"/>
        <n v="0.0143964562569214"/>
        <n v="0.0417867435158501"/>
        <n v="0.727272727272727"/>
        <n v="0.0322003577817531"/>
        <n v="0.546666666666667"/>
        <n v="0.0291902071563089"/>
        <n v="0.759615384615385"/>
        <n v="0.0479338842975207"/>
        <n v="0.747826086956522"/>
        <n v="0.0217391304347826"/>
        <n v="0.645833333333333"/>
        <n v="0.055793991416309"/>
        <n v="0.65"/>
        <n v="0.0490463215258856"/>
        <n v="0.0198924731182796"/>
        <n v="0.0548446069469835"/>
        <n v="0.699300699300699"/>
        <n v="0.0342323651452282"/>
        <n v="0.541899441340782"/>
        <n v="0.0333333333333333"/>
        <n v="0.761904761904762"/>
        <n v="0.0477386934673367"/>
        <n v="0.928176795580111"/>
        <n v="0.033457249070632"/>
        <n v="0.682170542635659"/>
        <n v="0.026246719160105"/>
        <n v="0.688679245283019"/>
        <n v="0.0246153846153846"/>
        <n v="0.0139372822299652"/>
        <n v="0.0283600493218249"/>
        <n v="0.795918367346939"/>
        <n v="0.0170616113744076"/>
        <n v="0.617977528089888"/>
        <n v="0.0185614849187935"/>
        <n v="0.823008849557522"/>
        <n v="0.028099173553719"/>
        <n v="0.952879581151833"/>
        <n v="0.028030303030303"/>
        <n v="0.701923076923077"/>
        <n v="0.0315315315315315"/>
        <n v="0.695652173913044"/>
        <n v="0.0352733686067019"/>
        <n v="0.0169665809768638"/>
        <n v="0.0386007237635706"/>
        <n v="0.734177215189874"/>
        <n v="0.0301151461470328"/>
        <n v="0.596026490066225"/>
        <n v="0.0255731922398589"/>
        <n v="0.784313725490196"/>
        <n v="0.038917089678511"/>
        <n v="0.978723404255319"/>
        <n v="0.0392301998519615"/>
        <n v="0.142857142857143"/>
        <n v="0.0344827586206897"/>
        <n v="0"/>
        <n v="0.106060606060606"/>
        <n v="0.5"/>
        <n v="0.75"/>
        <n v="0.333333333333333"/>
        <n v="0.0903361344537815"/>
        <n v="0.0895522388059702"/>
        <n v="0.785714285714286"/>
        <n v="0.325581395348837"/>
        <n v="0.0757575757575758"/>
        <n v="0.103448275862069"/>
        <n v="0.176470588235294"/>
        <n v="0.846153846153846"/>
        <n v="0.428571428571429"/>
        <n v="0.0942622950819672"/>
        <n v="0.103225806451613"/>
        <n v="0.818181818181818"/>
        <n v="0.290322580645161"/>
        <n v="0.147058823529412"/>
        <n v="0.0714285714285714"/>
        <n v="0.2"/>
        <n v="0.151515151515152"/>
        <n v="0.793103448275862"/>
        <n v="0.1"/>
        <n v="0.0983935742971888"/>
        <n v="0.0729166666666667"/>
        <n v="0.943820224719101"/>
        <n v="0.448979591836735"/>
        <n v="0.0930232558139535"/>
        <n v="0.25"/>
        <n v="0.0689655172413793"/>
        <n v="0.678571428571429"/>
        <n v="0.714285714285714"/>
        <n v="0.0936863543788187"/>
        <n v="0.0864197530864198"/>
        <n v="0.983606557377049"/>
        <n v="0.638297872340426"/>
      </sharedItems>
    </cacheField>
    <cacheField name="Recall" numFmtId="0">
      <sharedItems containsSemiMixedTypes="0" containsString="0" containsNumber="1" minValue="0" maxValue="1" count="68">
        <n v="0.360215053763441"/>
        <n v="0.435483870967742"/>
        <n v="0.311827956989247"/>
        <n v="0.419354838709677"/>
        <n v="1"/>
        <n v="0.467741935483871"/>
        <n v="0.602150537634409"/>
        <n v="0.580645161290323"/>
        <n v="0.440860215053763"/>
        <n v="0.5"/>
        <n v="0.424731182795699"/>
        <n v="0.924731182795699"/>
        <n v="0.741935483870968"/>
        <n v="0.333333333333333"/>
        <n v="0.279569892473118"/>
        <n v="0.290322580645161"/>
        <n v="0.596774193548387"/>
        <n v="0.483870967741936"/>
        <n v="0.537634408602151"/>
        <n v="0.532258064516129"/>
        <n v="0.521505376344086"/>
        <n v="0.67741935483871"/>
        <n v="0.344086021505376"/>
        <n v="0.306451612903226"/>
        <n v="0.903225806451613"/>
        <n v="0.473118279569893"/>
        <n v="0.32258064516129"/>
        <n v="0.39247311827957"/>
        <n v="0.258064516129032"/>
        <n v="0.451612903225806"/>
        <n v="0.370967741935484"/>
        <n v="0.629032258064516"/>
        <n v="0.591397849462366"/>
        <n v="0.387096774193548"/>
        <n v="0.274193548387097"/>
        <n v="0.978494623655914"/>
        <n v="0.338709677419355"/>
        <n v="0.516129032258065"/>
        <n v="0.623655913978495"/>
        <n v="0.548387096774194"/>
        <n v="0.43010752688172"/>
        <n v="0.989247311827957"/>
        <n v="0.854838709677419"/>
        <n v="0.0860215053763441"/>
        <n v="0.0161290322580645"/>
        <n v="0.00537634408602151"/>
        <n v="0"/>
        <n v="0.112903225806452"/>
        <n v="0.0645161290322581"/>
        <n v="0.032258064516129"/>
        <n v="0.231182795698925"/>
        <n v="0.193548387096774"/>
        <n v="0.650537634408602"/>
        <n v="0.225806451612903"/>
        <n v="0.0268817204301075"/>
        <n v="0.0483870967741936"/>
        <n v="0.118279569892473"/>
        <n v="0.247311827956989"/>
        <n v="0.870967741935484"/>
        <n v="0.0806451612903226"/>
        <n v="0.161290322580645"/>
        <n v="0.994623655913979"/>
        <n v="0.123655913978495"/>
        <n v="0.263440860215054"/>
        <n v="0.354838709677419"/>
        <n v="0.043010752688172"/>
        <n v="0.102150537634409"/>
        <n v="0.967741935483871"/>
      </sharedItems>
    </cacheField>
    <cacheField name="Specificity" numFmtId="0">
      <sharedItems containsSemiMixedTypes="0" containsString="0" containsNumber="1" minValue="0.798192771084337" maxValue="1" count="101">
        <n v="0.815217391304348"/>
        <n v="0.99625748502994"/>
        <n v="0.804878048780488"/>
        <n v="0.996186844613918"/>
        <n v="1"/>
        <n v="0.995591476855254"/>
        <n v="0.996443198965294"/>
        <n v="0.874576271186441"/>
        <n v="0.997063474135984"/>
        <n v="0.824915824915825"/>
        <n v="0.99652076318743"/>
        <n v="0.8328125"/>
        <n v="0.996476993701292"/>
        <n v="0.972762645914397"/>
        <n v="0.9979633401222"/>
        <n v="0.808641975308642"/>
        <n v="0.996212918156954"/>
        <n v="0.798192771084337"/>
        <n v="0.995419052576783"/>
        <n v="0.996918145956608"/>
        <n v="0.996604774535809"/>
        <n v="0.856905158069884"/>
        <n v="0.996780639431616"/>
        <n v="0.842477876106195"/>
        <n v="0.997704315886134"/>
        <n v="0.815151515151515"/>
        <n v="0.995508669312722"/>
        <n v="0.968028419182949"/>
        <n v="0.997077338129496"/>
        <n v="0.840650406504065"/>
        <n v="0.995439739413681"/>
        <n v="0.822884012539185"/>
        <n v="0.995065436601588"/>
        <n v="0.995730252417431"/>
        <n v="0.995742822835935"/>
        <n v="0.884422110552764"/>
        <n v="0.995065605024111"/>
        <n v="0.865724381625442"/>
        <n v="0.995621615393479"/>
        <n v="0.852614896988907"/>
        <n v="0.995195900501762"/>
        <n v="0.992766726943942"/>
        <n v="0.99711049468331"/>
        <n v="0.8234375"/>
        <n v="0.995594240275091"/>
        <n v="0.812883435582822"/>
        <n v="0.995534290271132"/>
        <n v="0.996387193222873"/>
        <n v="0.99671880126873"/>
        <n v="0.880546075085324"/>
        <n v="0.996833653737419"/>
        <n v="0.838111298482293"/>
        <n v="0.996266123557366"/>
        <n v="0.834890965732087"/>
        <n v="0.995842660697154"/>
        <n v="0.996402877697842"/>
        <n v="0.998956037582647"/>
        <n v="0.978548895899054"/>
        <n v="0.976981132075472"/>
        <n v="0.976978596316576"/>
        <n v="0.976848394324123"/>
        <n v="0.978951396861845"/>
        <n v="0.977213298468435"/>
        <n v="0.978306944271288"/>
        <n v="0.977553310886644"/>
        <n v="0.981087157783362"/>
        <n v="0.980353634577603"/>
        <n v="0.97685703620754"/>
        <n v="0.991754408220221"/>
        <n v="0.981790591805766"/>
        <n v="0.977292685986702"/>
        <n v="0.977735849056604"/>
        <n v="0.980850248946764"/>
        <n v="0.979528148795406"/>
        <n v="0.977919161676647"/>
        <n v="0.981454497284409"/>
        <n v="0.981774960380349"/>
        <n v="0.996938384998087"/>
        <n v="0.983186855177684"/>
        <n v="0.978449905482042"/>
        <n v="0.977626090254077"/>
        <n v="0.976967131474104"/>
        <n v="0.976839745984311"/>
        <n v="0.980099502487562"/>
        <n v="0.999872643912379"/>
        <n v="0.979645354645355"/>
        <n v="0.977144998126639"/>
        <n v="0.981827828624486"/>
        <n v="0.980699638118215"/>
        <n v="0.997709632268736"/>
        <n v="0.984790874524715"/>
        <n v="0.977612878883159"/>
        <n v="0.978220052572287"/>
        <n v="0.97787104158718"/>
        <n v="0.977221807318895"/>
        <n v="0.979148457984767"/>
        <n v="0.978667664670659"/>
        <n v="0.981447124304267"/>
        <n v="0.98092967818832"/>
        <n v="0.999236058059588"/>
        <n v="0.98784194528875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Cache/pivotCacheRecords2.xml><?xml version="1.0" encoding="utf-8"?>
<pivotCacheRecords xmlns="http://schemas.openxmlformats.org/spreadsheetml/2006/main" xmlns:r="http://schemas.openxmlformats.org/officeDocument/2006/relationships" count="128"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8">
  <r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1"/>
    <x v="1"/>
    <x v="1"/>
    <x v="1"/>
    <x v="1"/>
    <x v="1"/>
    <x v="1"/>
    <x v="1"/>
    <x v="1"/>
  </r>
  <r>
    <x v="1"/>
    <x v="0"/>
    <x v="0"/>
    <x v="0"/>
    <x v="0"/>
    <x v="2"/>
    <x v="2"/>
    <x v="2"/>
    <x v="2"/>
    <x v="2"/>
    <x v="2"/>
    <x v="2"/>
    <x v="2"/>
    <x v="2"/>
  </r>
  <r>
    <x v="1"/>
    <x v="1"/>
    <x v="0"/>
    <x v="0"/>
    <x v="0"/>
    <x v="3"/>
    <x v="3"/>
    <x v="3"/>
    <x v="3"/>
    <x v="3"/>
    <x v="3"/>
    <x v="3"/>
    <x v="3"/>
    <x v="3"/>
  </r>
  <r>
    <x v="2"/>
    <x v="0"/>
    <x v="0"/>
    <x v="0"/>
    <x v="0"/>
    <x v="4"/>
    <x v="4"/>
    <x v="4"/>
    <x v="4"/>
    <x v="4"/>
    <x v="4"/>
    <x v="4"/>
    <x v="4"/>
    <x v="4"/>
  </r>
  <r>
    <x v="2"/>
    <x v="1"/>
    <x v="0"/>
    <x v="0"/>
    <x v="0"/>
    <x v="3"/>
    <x v="5"/>
    <x v="5"/>
    <x v="3"/>
    <x v="5"/>
    <x v="5"/>
    <x v="5"/>
    <x v="3"/>
    <x v="5"/>
  </r>
  <r>
    <x v="3"/>
    <x v="0"/>
    <x v="0"/>
    <x v="0"/>
    <x v="0"/>
    <x v="4"/>
    <x v="4"/>
    <x v="4"/>
    <x v="4"/>
    <x v="4"/>
    <x v="4"/>
    <x v="4"/>
    <x v="4"/>
    <x v="4"/>
  </r>
  <r>
    <x v="3"/>
    <x v="1"/>
    <x v="0"/>
    <x v="0"/>
    <x v="0"/>
    <x v="5"/>
    <x v="6"/>
    <x v="6"/>
    <x v="5"/>
    <x v="6"/>
    <x v="6"/>
    <x v="6"/>
    <x v="5"/>
    <x v="6"/>
  </r>
  <r>
    <x v="4"/>
    <x v="0"/>
    <x v="0"/>
    <x v="0"/>
    <x v="0"/>
    <x v="6"/>
    <x v="7"/>
    <x v="7"/>
    <x v="6"/>
    <x v="7"/>
    <x v="7"/>
    <x v="7"/>
    <x v="6"/>
    <x v="7"/>
  </r>
  <r>
    <x v="4"/>
    <x v="1"/>
    <x v="0"/>
    <x v="0"/>
    <x v="0"/>
    <x v="7"/>
    <x v="8"/>
    <x v="8"/>
    <x v="7"/>
    <x v="8"/>
    <x v="8"/>
    <x v="8"/>
    <x v="7"/>
    <x v="8"/>
  </r>
  <r>
    <x v="5"/>
    <x v="0"/>
    <x v="0"/>
    <x v="0"/>
    <x v="0"/>
    <x v="8"/>
    <x v="9"/>
    <x v="9"/>
    <x v="8"/>
    <x v="9"/>
    <x v="9"/>
    <x v="9"/>
    <x v="8"/>
    <x v="9"/>
  </r>
  <r>
    <x v="5"/>
    <x v="1"/>
    <x v="0"/>
    <x v="0"/>
    <x v="0"/>
    <x v="9"/>
    <x v="10"/>
    <x v="10"/>
    <x v="9"/>
    <x v="10"/>
    <x v="10"/>
    <x v="10"/>
    <x v="9"/>
    <x v="10"/>
  </r>
  <r>
    <x v="6"/>
    <x v="0"/>
    <x v="0"/>
    <x v="0"/>
    <x v="0"/>
    <x v="10"/>
    <x v="11"/>
    <x v="11"/>
    <x v="10"/>
    <x v="11"/>
    <x v="11"/>
    <x v="11"/>
    <x v="10"/>
    <x v="11"/>
  </r>
  <r>
    <x v="6"/>
    <x v="1"/>
    <x v="0"/>
    <x v="0"/>
    <x v="0"/>
    <x v="5"/>
    <x v="12"/>
    <x v="12"/>
    <x v="5"/>
    <x v="12"/>
    <x v="12"/>
    <x v="12"/>
    <x v="5"/>
    <x v="12"/>
  </r>
  <r>
    <x v="7"/>
    <x v="0"/>
    <x v="0"/>
    <x v="0"/>
    <x v="0"/>
    <x v="11"/>
    <x v="13"/>
    <x v="13"/>
    <x v="11"/>
    <x v="13"/>
    <x v="13"/>
    <x v="13"/>
    <x v="11"/>
    <x v="13"/>
  </r>
  <r>
    <x v="7"/>
    <x v="1"/>
    <x v="0"/>
    <x v="0"/>
    <x v="0"/>
    <x v="12"/>
    <x v="14"/>
    <x v="14"/>
    <x v="12"/>
    <x v="14"/>
    <x v="14"/>
    <x v="14"/>
    <x v="12"/>
    <x v="14"/>
  </r>
  <r>
    <x v="0"/>
    <x v="0"/>
    <x v="0"/>
    <x v="0"/>
    <x v="0"/>
    <x v="13"/>
    <x v="15"/>
    <x v="15"/>
    <x v="13"/>
    <x v="15"/>
    <x v="2"/>
    <x v="15"/>
    <x v="13"/>
    <x v="15"/>
  </r>
  <r>
    <x v="0"/>
    <x v="1"/>
    <x v="0"/>
    <x v="0"/>
    <x v="0"/>
    <x v="3"/>
    <x v="16"/>
    <x v="16"/>
    <x v="3"/>
    <x v="16"/>
    <x v="15"/>
    <x v="16"/>
    <x v="3"/>
    <x v="16"/>
  </r>
  <r>
    <x v="1"/>
    <x v="0"/>
    <x v="0"/>
    <x v="0"/>
    <x v="0"/>
    <x v="14"/>
    <x v="17"/>
    <x v="17"/>
    <x v="14"/>
    <x v="17"/>
    <x v="16"/>
    <x v="17"/>
    <x v="14"/>
    <x v="17"/>
  </r>
  <r>
    <x v="1"/>
    <x v="1"/>
    <x v="0"/>
    <x v="0"/>
    <x v="0"/>
    <x v="15"/>
    <x v="18"/>
    <x v="18"/>
    <x v="15"/>
    <x v="18"/>
    <x v="17"/>
    <x v="18"/>
    <x v="15"/>
    <x v="18"/>
  </r>
  <r>
    <x v="2"/>
    <x v="0"/>
    <x v="0"/>
    <x v="0"/>
    <x v="0"/>
    <x v="4"/>
    <x v="4"/>
    <x v="4"/>
    <x v="4"/>
    <x v="4"/>
    <x v="4"/>
    <x v="4"/>
    <x v="4"/>
    <x v="4"/>
  </r>
  <r>
    <x v="2"/>
    <x v="1"/>
    <x v="0"/>
    <x v="0"/>
    <x v="0"/>
    <x v="16"/>
    <x v="19"/>
    <x v="19"/>
    <x v="16"/>
    <x v="19"/>
    <x v="18"/>
    <x v="19"/>
    <x v="16"/>
    <x v="19"/>
  </r>
  <r>
    <x v="3"/>
    <x v="0"/>
    <x v="0"/>
    <x v="0"/>
    <x v="0"/>
    <x v="4"/>
    <x v="4"/>
    <x v="4"/>
    <x v="4"/>
    <x v="4"/>
    <x v="4"/>
    <x v="4"/>
    <x v="4"/>
    <x v="4"/>
  </r>
  <r>
    <x v="3"/>
    <x v="1"/>
    <x v="0"/>
    <x v="0"/>
    <x v="0"/>
    <x v="17"/>
    <x v="20"/>
    <x v="20"/>
    <x v="17"/>
    <x v="20"/>
    <x v="19"/>
    <x v="20"/>
    <x v="17"/>
    <x v="20"/>
  </r>
  <r>
    <x v="4"/>
    <x v="0"/>
    <x v="0"/>
    <x v="0"/>
    <x v="0"/>
    <x v="18"/>
    <x v="21"/>
    <x v="21"/>
    <x v="18"/>
    <x v="21"/>
    <x v="20"/>
    <x v="21"/>
    <x v="18"/>
    <x v="21"/>
  </r>
  <r>
    <x v="4"/>
    <x v="1"/>
    <x v="0"/>
    <x v="0"/>
    <x v="0"/>
    <x v="19"/>
    <x v="22"/>
    <x v="22"/>
    <x v="19"/>
    <x v="22"/>
    <x v="21"/>
    <x v="22"/>
    <x v="19"/>
    <x v="22"/>
  </r>
  <r>
    <x v="5"/>
    <x v="0"/>
    <x v="0"/>
    <x v="0"/>
    <x v="0"/>
    <x v="20"/>
    <x v="23"/>
    <x v="23"/>
    <x v="20"/>
    <x v="23"/>
    <x v="22"/>
    <x v="23"/>
    <x v="20"/>
    <x v="23"/>
  </r>
  <r>
    <x v="5"/>
    <x v="1"/>
    <x v="0"/>
    <x v="0"/>
    <x v="0"/>
    <x v="21"/>
    <x v="24"/>
    <x v="24"/>
    <x v="21"/>
    <x v="24"/>
    <x v="23"/>
    <x v="24"/>
    <x v="21"/>
    <x v="24"/>
  </r>
  <r>
    <x v="6"/>
    <x v="0"/>
    <x v="0"/>
    <x v="0"/>
    <x v="0"/>
    <x v="22"/>
    <x v="25"/>
    <x v="25"/>
    <x v="22"/>
    <x v="25"/>
    <x v="24"/>
    <x v="25"/>
    <x v="22"/>
    <x v="25"/>
  </r>
  <r>
    <x v="6"/>
    <x v="1"/>
    <x v="0"/>
    <x v="0"/>
    <x v="0"/>
    <x v="23"/>
    <x v="26"/>
    <x v="26"/>
    <x v="23"/>
    <x v="26"/>
    <x v="25"/>
    <x v="26"/>
    <x v="23"/>
    <x v="26"/>
  </r>
  <r>
    <x v="7"/>
    <x v="0"/>
    <x v="0"/>
    <x v="0"/>
    <x v="0"/>
    <x v="24"/>
    <x v="27"/>
    <x v="27"/>
    <x v="24"/>
    <x v="27"/>
    <x v="26"/>
    <x v="27"/>
    <x v="24"/>
    <x v="27"/>
  </r>
  <r>
    <x v="7"/>
    <x v="1"/>
    <x v="0"/>
    <x v="0"/>
    <x v="0"/>
    <x v="7"/>
    <x v="28"/>
    <x v="28"/>
    <x v="7"/>
    <x v="28"/>
    <x v="27"/>
    <x v="28"/>
    <x v="7"/>
    <x v="28"/>
  </r>
  <r>
    <x v="0"/>
    <x v="0"/>
    <x v="0"/>
    <x v="0"/>
    <x v="0"/>
    <x v="25"/>
    <x v="29"/>
    <x v="29"/>
    <x v="25"/>
    <x v="29"/>
    <x v="28"/>
    <x v="29"/>
    <x v="25"/>
    <x v="29"/>
  </r>
  <r>
    <x v="0"/>
    <x v="1"/>
    <x v="0"/>
    <x v="0"/>
    <x v="0"/>
    <x v="26"/>
    <x v="30"/>
    <x v="30"/>
    <x v="26"/>
    <x v="30"/>
    <x v="29"/>
    <x v="30"/>
    <x v="26"/>
    <x v="30"/>
  </r>
  <r>
    <x v="1"/>
    <x v="0"/>
    <x v="0"/>
    <x v="0"/>
    <x v="0"/>
    <x v="27"/>
    <x v="0"/>
    <x v="0"/>
    <x v="27"/>
    <x v="31"/>
    <x v="30"/>
    <x v="31"/>
    <x v="27"/>
    <x v="31"/>
  </r>
  <r>
    <x v="1"/>
    <x v="1"/>
    <x v="0"/>
    <x v="0"/>
    <x v="0"/>
    <x v="28"/>
    <x v="31"/>
    <x v="31"/>
    <x v="28"/>
    <x v="32"/>
    <x v="31"/>
    <x v="32"/>
    <x v="28"/>
    <x v="32"/>
  </r>
  <r>
    <x v="2"/>
    <x v="0"/>
    <x v="0"/>
    <x v="0"/>
    <x v="0"/>
    <x v="4"/>
    <x v="4"/>
    <x v="4"/>
    <x v="4"/>
    <x v="4"/>
    <x v="4"/>
    <x v="4"/>
    <x v="4"/>
    <x v="4"/>
  </r>
  <r>
    <x v="2"/>
    <x v="1"/>
    <x v="0"/>
    <x v="0"/>
    <x v="0"/>
    <x v="29"/>
    <x v="32"/>
    <x v="32"/>
    <x v="29"/>
    <x v="33"/>
    <x v="32"/>
    <x v="33"/>
    <x v="29"/>
    <x v="33"/>
  </r>
  <r>
    <x v="3"/>
    <x v="0"/>
    <x v="0"/>
    <x v="0"/>
    <x v="0"/>
    <x v="4"/>
    <x v="4"/>
    <x v="4"/>
    <x v="4"/>
    <x v="4"/>
    <x v="4"/>
    <x v="4"/>
    <x v="4"/>
    <x v="4"/>
  </r>
  <r>
    <x v="3"/>
    <x v="1"/>
    <x v="0"/>
    <x v="0"/>
    <x v="0"/>
    <x v="30"/>
    <x v="33"/>
    <x v="33"/>
    <x v="30"/>
    <x v="34"/>
    <x v="33"/>
    <x v="34"/>
    <x v="30"/>
    <x v="34"/>
  </r>
  <r>
    <x v="4"/>
    <x v="0"/>
    <x v="0"/>
    <x v="0"/>
    <x v="0"/>
    <x v="31"/>
    <x v="2"/>
    <x v="2"/>
    <x v="31"/>
    <x v="35"/>
    <x v="34"/>
    <x v="35"/>
    <x v="31"/>
    <x v="35"/>
  </r>
  <r>
    <x v="4"/>
    <x v="1"/>
    <x v="0"/>
    <x v="0"/>
    <x v="0"/>
    <x v="15"/>
    <x v="34"/>
    <x v="34"/>
    <x v="15"/>
    <x v="36"/>
    <x v="35"/>
    <x v="36"/>
    <x v="15"/>
    <x v="36"/>
  </r>
  <r>
    <x v="5"/>
    <x v="0"/>
    <x v="0"/>
    <x v="0"/>
    <x v="0"/>
    <x v="32"/>
    <x v="9"/>
    <x v="9"/>
    <x v="32"/>
    <x v="37"/>
    <x v="36"/>
    <x v="37"/>
    <x v="32"/>
    <x v="37"/>
  </r>
  <r>
    <x v="5"/>
    <x v="1"/>
    <x v="0"/>
    <x v="0"/>
    <x v="0"/>
    <x v="33"/>
    <x v="35"/>
    <x v="35"/>
    <x v="33"/>
    <x v="38"/>
    <x v="37"/>
    <x v="38"/>
    <x v="33"/>
    <x v="38"/>
  </r>
  <r>
    <x v="6"/>
    <x v="0"/>
    <x v="0"/>
    <x v="0"/>
    <x v="0"/>
    <x v="34"/>
    <x v="25"/>
    <x v="25"/>
    <x v="34"/>
    <x v="39"/>
    <x v="38"/>
    <x v="39"/>
    <x v="9"/>
    <x v="39"/>
  </r>
  <r>
    <x v="6"/>
    <x v="1"/>
    <x v="0"/>
    <x v="0"/>
    <x v="0"/>
    <x v="35"/>
    <x v="36"/>
    <x v="36"/>
    <x v="35"/>
    <x v="40"/>
    <x v="39"/>
    <x v="40"/>
    <x v="34"/>
    <x v="40"/>
  </r>
  <r>
    <x v="7"/>
    <x v="0"/>
    <x v="0"/>
    <x v="0"/>
    <x v="0"/>
    <x v="36"/>
    <x v="37"/>
    <x v="37"/>
    <x v="36"/>
    <x v="41"/>
    <x v="40"/>
    <x v="41"/>
    <x v="35"/>
    <x v="41"/>
  </r>
  <r>
    <x v="7"/>
    <x v="1"/>
    <x v="0"/>
    <x v="0"/>
    <x v="0"/>
    <x v="16"/>
    <x v="38"/>
    <x v="38"/>
    <x v="16"/>
    <x v="42"/>
    <x v="41"/>
    <x v="42"/>
    <x v="16"/>
    <x v="42"/>
  </r>
  <r>
    <x v="0"/>
    <x v="0"/>
    <x v="0"/>
    <x v="0"/>
    <x v="0"/>
    <x v="27"/>
    <x v="39"/>
    <x v="39"/>
    <x v="27"/>
    <x v="43"/>
    <x v="36"/>
    <x v="43"/>
    <x v="27"/>
    <x v="43"/>
  </r>
  <r>
    <x v="0"/>
    <x v="1"/>
    <x v="0"/>
    <x v="0"/>
    <x v="0"/>
    <x v="37"/>
    <x v="40"/>
    <x v="40"/>
    <x v="37"/>
    <x v="44"/>
    <x v="42"/>
    <x v="44"/>
    <x v="36"/>
    <x v="44"/>
  </r>
  <r>
    <x v="1"/>
    <x v="0"/>
    <x v="0"/>
    <x v="0"/>
    <x v="0"/>
    <x v="22"/>
    <x v="17"/>
    <x v="17"/>
    <x v="22"/>
    <x v="45"/>
    <x v="43"/>
    <x v="45"/>
    <x v="22"/>
    <x v="45"/>
  </r>
  <r>
    <x v="1"/>
    <x v="1"/>
    <x v="0"/>
    <x v="0"/>
    <x v="0"/>
    <x v="26"/>
    <x v="41"/>
    <x v="41"/>
    <x v="26"/>
    <x v="46"/>
    <x v="44"/>
    <x v="46"/>
    <x v="26"/>
    <x v="46"/>
  </r>
  <r>
    <x v="2"/>
    <x v="0"/>
    <x v="0"/>
    <x v="0"/>
    <x v="0"/>
    <x v="4"/>
    <x v="4"/>
    <x v="4"/>
    <x v="4"/>
    <x v="4"/>
    <x v="4"/>
    <x v="4"/>
    <x v="4"/>
    <x v="4"/>
  </r>
  <r>
    <x v="2"/>
    <x v="1"/>
    <x v="0"/>
    <x v="0"/>
    <x v="0"/>
    <x v="19"/>
    <x v="42"/>
    <x v="42"/>
    <x v="19"/>
    <x v="47"/>
    <x v="45"/>
    <x v="47"/>
    <x v="19"/>
    <x v="47"/>
  </r>
  <r>
    <x v="3"/>
    <x v="0"/>
    <x v="0"/>
    <x v="0"/>
    <x v="0"/>
    <x v="4"/>
    <x v="4"/>
    <x v="4"/>
    <x v="4"/>
    <x v="4"/>
    <x v="4"/>
    <x v="4"/>
    <x v="4"/>
    <x v="4"/>
  </r>
  <r>
    <x v="3"/>
    <x v="1"/>
    <x v="0"/>
    <x v="0"/>
    <x v="0"/>
    <x v="38"/>
    <x v="43"/>
    <x v="43"/>
    <x v="38"/>
    <x v="48"/>
    <x v="33"/>
    <x v="48"/>
    <x v="37"/>
    <x v="48"/>
  </r>
  <r>
    <x v="4"/>
    <x v="0"/>
    <x v="0"/>
    <x v="0"/>
    <x v="0"/>
    <x v="39"/>
    <x v="7"/>
    <x v="7"/>
    <x v="39"/>
    <x v="49"/>
    <x v="46"/>
    <x v="49"/>
    <x v="38"/>
    <x v="49"/>
  </r>
  <r>
    <x v="4"/>
    <x v="1"/>
    <x v="0"/>
    <x v="0"/>
    <x v="0"/>
    <x v="40"/>
    <x v="44"/>
    <x v="44"/>
    <x v="40"/>
    <x v="50"/>
    <x v="47"/>
    <x v="50"/>
    <x v="39"/>
    <x v="50"/>
  </r>
  <r>
    <x v="5"/>
    <x v="0"/>
    <x v="0"/>
    <x v="0"/>
    <x v="0"/>
    <x v="41"/>
    <x v="45"/>
    <x v="45"/>
    <x v="41"/>
    <x v="23"/>
    <x v="48"/>
    <x v="51"/>
    <x v="17"/>
    <x v="51"/>
  </r>
  <r>
    <x v="5"/>
    <x v="1"/>
    <x v="0"/>
    <x v="0"/>
    <x v="0"/>
    <x v="5"/>
    <x v="46"/>
    <x v="46"/>
    <x v="5"/>
    <x v="51"/>
    <x v="49"/>
    <x v="52"/>
    <x v="5"/>
    <x v="52"/>
  </r>
  <r>
    <x v="6"/>
    <x v="0"/>
    <x v="0"/>
    <x v="0"/>
    <x v="0"/>
    <x v="42"/>
    <x v="47"/>
    <x v="47"/>
    <x v="42"/>
    <x v="52"/>
    <x v="50"/>
    <x v="53"/>
    <x v="40"/>
    <x v="53"/>
  </r>
  <r>
    <x v="6"/>
    <x v="1"/>
    <x v="0"/>
    <x v="0"/>
    <x v="0"/>
    <x v="30"/>
    <x v="48"/>
    <x v="48"/>
    <x v="30"/>
    <x v="53"/>
    <x v="51"/>
    <x v="54"/>
    <x v="30"/>
    <x v="54"/>
  </r>
  <r>
    <x v="7"/>
    <x v="0"/>
    <x v="0"/>
    <x v="0"/>
    <x v="0"/>
    <x v="43"/>
    <x v="49"/>
    <x v="49"/>
    <x v="43"/>
    <x v="54"/>
    <x v="52"/>
    <x v="55"/>
    <x v="41"/>
    <x v="55"/>
  </r>
  <r>
    <x v="7"/>
    <x v="1"/>
    <x v="0"/>
    <x v="0"/>
    <x v="0"/>
    <x v="44"/>
    <x v="50"/>
    <x v="50"/>
    <x v="44"/>
    <x v="55"/>
    <x v="37"/>
    <x v="56"/>
    <x v="42"/>
    <x v="56"/>
  </r>
  <r>
    <x v="0"/>
    <x v="0"/>
    <x v="1"/>
    <x v="1"/>
    <x v="0"/>
    <x v="28"/>
    <x v="51"/>
    <x v="51"/>
    <x v="45"/>
    <x v="56"/>
    <x v="53"/>
    <x v="57"/>
    <x v="43"/>
    <x v="57"/>
  </r>
  <r>
    <x v="0"/>
    <x v="1"/>
    <x v="1"/>
    <x v="1"/>
    <x v="0"/>
    <x v="45"/>
    <x v="52"/>
    <x v="17"/>
    <x v="46"/>
    <x v="57"/>
    <x v="54"/>
    <x v="58"/>
    <x v="44"/>
    <x v="58"/>
  </r>
  <r>
    <x v="1"/>
    <x v="0"/>
    <x v="1"/>
    <x v="1"/>
    <x v="0"/>
    <x v="45"/>
    <x v="53"/>
    <x v="4"/>
    <x v="47"/>
    <x v="58"/>
    <x v="55"/>
    <x v="4"/>
    <x v="45"/>
    <x v="59"/>
  </r>
  <r>
    <x v="1"/>
    <x v="1"/>
    <x v="1"/>
    <x v="1"/>
    <x v="0"/>
    <x v="46"/>
    <x v="54"/>
    <x v="52"/>
    <x v="48"/>
    <x v="59"/>
    <x v="56"/>
    <x v="59"/>
    <x v="46"/>
    <x v="60"/>
  </r>
  <r>
    <x v="2"/>
    <x v="0"/>
    <x v="1"/>
    <x v="1"/>
    <x v="0"/>
    <x v="4"/>
    <x v="53"/>
    <x v="4"/>
    <x v="4"/>
    <x v="4"/>
    <x v="4"/>
    <x v="4"/>
    <x v="4"/>
    <x v="4"/>
  </r>
  <r>
    <x v="2"/>
    <x v="1"/>
    <x v="1"/>
    <x v="1"/>
    <x v="0"/>
    <x v="47"/>
    <x v="55"/>
    <x v="53"/>
    <x v="49"/>
    <x v="60"/>
    <x v="57"/>
    <x v="60"/>
    <x v="47"/>
    <x v="61"/>
  </r>
  <r>
    <x v="3"/>
    <x v="0"/>
    <x v="1"/>
    <x v="1"/>
    <x v="0"/>
    <x v="4"/>
    <x v="53"/>
    <x v="4"/>
    <x v="4"/>
    <x v="4"/>
    <x v="4"/>
    <x v="4"/>
    <x v="4"/>
    <x v="4"/>
  </r>
  <r>
    <x v="3"/>
    <x v="1"/>
    <x v="1"/>
    <x v="1"/>
    <x v="0"/>
    <x v="45"/>
    <x v="54"/>
    <x v="52"/>
    <x v="46"/>
    <x v="61"/>
    <x v="58"/>
    <x v="61"/>
    <x v="44"/>
    <x v="62"/>
  </r>
  <r>
    <x v="4"/>
    <x v="0"/>
    <x v="1"/>
    <x v="1"/>
    <x v="0"/>
    <x v="48"/>
    <x v="56"/>
    <x v="49"/>
    <x v="50"/>
    <x v="62"/>
    <x v="59"/>
    <x v="62"/>
    <x v="48"/>
    <x v="63"/>
  </r>
  <r>
    <x v="4"/>
    <x v="1"/>
    <x v="1"/>
    <x v="1"/>
    <x v="0"/>
    <x v="49"/>
    <x v="57"/>
    <x v="49"/>
    <x v="51"/>
    <x v="63"/>
    <x v="60"/>
    <x v="63"/>
    <x v="49"/>
    <x v="64"/>
  </r>
  <r>
    <x v="5"/>
    <x v="0"/>
    <x v="1"/>
    <x v="1"/>
    <x v="0"/>
    <x v="50"/>
    <x v="58"/>
    <x v="54"/>
    <x v="52"/>
    <x v="64"/>
    <x v="61"/>
    <x v="64"/>
    <x v="50"/>
    <x v="65"/>
  </r>
  <r>
    <x v="5"/>
    <x v="1"/>
    <x v="1"/>
    <x v="1"/>
    <x v="0"/>
    <x v="48"/>
    <x v="59"/>
    <x v="55"/>
    <x v="53"/>
    <x v="65"/>
    <x v="62"/>
    <x v="65"/>
    <x v="51"/>
    <x v="66"/>
  </r>
  <r>
    <x v="6"/>
    <x v="0"/>
    <x v="1"/>
    <x v="1"/>
    <x v="0"/>
    <x v="46"/>
    <x v="53"/>
    <x v="4"/>
    <x v="54"/>
    <x v="66"/>
    <x v="58"/>
    <x v="59"/>
    <x v="46"/>
    <x v="67"/>
  </r>
  <r>
    <x v="6"/>
    <x v="1"/>
    <x v="1"/>
    <x v="1"/>
    <x v="0"/>
    <x v="46"/>
    <x v="60"/>
    <x v="4"/>
    <x v="48"/>
    <x v="66"/>
    <x v="58"/>
    <x v="59"/>
    <x v="46"/>
    <x v="67"/>
  </r>
  <r>
    <x v="7"/>
    <x v="0"/>
    <x v="1"/>
    <x v="1"/>
    <x v="0"/>
    <x v="51"/>
    <x v="61"/>
    <x v="0"/>
    <x v="55"/>
    <x v="67"/>
    <x v="63"/>
    <x v="66"/>
    <x v="52"/>
    <x v="68"/>
  </r>
  <r>
    <x v="7"/>
    <x v="1"/>
    <x v="1"/>
    <x v="1"/>
    <x v="0"/>
    <x v="52"/>
    <x v="62"/>
    <x v="56"/>
    <x v="56"/>
    <x v="68"/>
    <x v="64"/>
    <x v="67"/>
    <x v="53"/>
    <x v="69"/>
  </r>
  <r>
    <x v="0"/>
    <x v="0"/>
    <x v="1"/>
    <x v="1"/>
    <x v="0"/>
    <x v="53"/>
    <x v="63"/>
    <x v="45"/>
    <x v="57"/>
    <x v="69"/>
    <x v="65"/>
    <x v="68"/>
    <x v="54"/>
    <x v="70"/>
  </r>
  <r>
    <x v="0"/>
    <x v="1"/>
    <x v="1"/>
    <x v="1"/>
    <x v="0"/>
    <x v="54"/>
    <x v="64"/>
    <x v="57"/>
    <x v="58"/>
    <x v="70"/>
    <x v="66"/>
    <x v="69"/>
    <x v="55"/>
    <x v="71"/>
  </r>
  <r>
    <x v="1"/>
    <x v="0"/>
    <x v="1"/>
    <x v="1"/>
    <x v="0"/>
    <x v="46"/>
    <x v="53"/>
    <x v="4"/>
    <x v="54"/>
    <x v="66"/>
    <x v="58"/>
    <x v="59"/>
    <x v="46"/>
    <x v="67"/>
  </r>
  <r>
    <x v="1"/>
    <x v="1"/>
    <x v="1"/>
    <x v="1"/>
    <x v="0"/>
    <x v="46"/>
    <x v="60"/>
    <x v="4"/>
    <x v="48"/>
    <x v="66"/>
    <x v="58"/>
    <x v="59"/>
    <x v="46"/>
    <x v="67"/>
  </r>
  <r>
    <x v="2"/>
    <x v="0"/>
    <x v="1"/>
    <x v="1"/>
    <x v="0"/>
    <x v="4"/>
    <x v="53"/>
    <x v="4"/>
    <x v="4"/>
    <x v="4"/>
    <x v="4"/>
    <x v="4"/>
    <x v="4"/>
    <x v="4"/>
  </r>
  <r>
    <x v="2"/>
    <x v="1"/>
    <x v="1"/>
    <x v="1"/>
    <x v="0"/>
    <x v="48"/>
    <x v="65"/>
    <x v="58"/>
    <x v="53"/>
    <x v="71"/>
    <x v="67"/>
    <x v="70"/>
    <x v="51"/>
    <x v="72"/>
  </r>
  <r>
    <x v="3"/>
    <x v="0"/>
    <x v="1"/>
    <x v="1"/>
    <x v="0"/>
    <x v="4"/>
    <x v="53"/>
    <x v="4"/>
    <x v="4"/>
    <x v="4"/>
    <x v="4"/>
    <x v="4"/>
    <x v="4"/>
    <x v="4"/>
  </r>
  <r>
    <x v="3"/>
    <x v="1"/>
    <x v="1"/>
    <x v="1"/>
    <x v="0"/>
    <x v="46"/>
    <x v="60"/>
    <x v="4"/>
    <x v="48"/>
    <x v="66"/>
    <x v="58"/>
    <x v="59"/>
    <x v="46"/>
    <x v="67"/>
  </r>
  <r>
    <x v="4"/>
    <x v="0"/>
    <x v="1"/>
    <x v="1"/>
    <x v="0"/>
    <x v="55"/>
    <x v="56"/>
    <x v="49"/>
    <x v="59"/>
    <x v="72"/>
    <x v="68"/>
    <x v="71"/>
    <x v="56"/>
    <x v="73"/>
  </r>
  <r>
    <x v="4"/>
    <x v="1"/>
    <x v="1"/>
    <x v="1"/>
    <x v="0"/>
    <x v="54"/>
    <x v="57"/>
    <x v="49"/>
    <x v="58"/>
    <x v="73"/>
    <x v="56"/>
    <x v="72"/>
    <x v="55"/>
    <x v="74"/>
  </r>
  <r>
    <x v="5"/>
    <x v="0"/>
    <x v="1"/>
    <x v="1"/>
    <x v="0"/>
    <x v="12"/>
    <x v="66"/>
    <x v="59"/>
    <x v="60"/>
    <x v="74"/>
    <x v="69"/>
    <x v="73"/>
    <x v="57"/>
    <x v="75"/>
  </r>
  <r>
    <x v="5"/>
    <x v="1"/>
    <x v="1"/>
    <x v="1"/>
    <x v="0"/>
    <x v="28"/>
    <x v="67"/>
    <x v="60"/>
    <x v="28"/>
    <x v="75"/>
    <x v="70"/>
    <x v="74"/>
    <x v="28"/>
    <x v="76"/>
  </r>
  <r>
    <x v="6"/>
    <x v="0"/>
    <x v="1"/>
    <x v="1"/>
    <x v="0"/>
    <x v="46"/>
    <x v="53"/>
    <x v="4"/>
    <x v="54"/>
    <x v="66"/>
    <x v="58"/>
    <x v="59"/>
    <x v="46"/>
    <x v="67"/>
  </r>
  <r>
    <x v="6"/>
    <x v="1"/>
    <x v="1"/>
    <x v="1"/>
    <x v="0"/>
    <x v="46"/>
    <x v="60"/>
    <x v="4"/>
    <x v="48"/>
    <x v="66"/>
    <x v="58"/>
    <x v="59"/>
    <x v="46"/>
    <x v="67"/>
  </r>
  <r>
    <x v="7"/>
    <x v="0"/>
    <x v="1"/>
    <x v="1"/>
    <x v="0"/>
    <x v="56"/>
    <x v="68"/>
    <x v="61"/>
    <x v="61"/>
    <x v="76"/>
    <x v="71"/>
    <x v="75"/>
    <x v="58"/>
    <x v="77"/>
  </r>
  <r>
    <x v="7"/>
    <x v="1"/>
    <x v="1"/>
    <x v="1"/>
    <x v="0"/>
    <x v="15"/>
    <x v="69"/>
    <x v="62"/>
    <x v="15"/>
    <x v="77"/>
    <x v="72"/>
    <x v="76"/>
    <x v="15"/>
    <x v="78"/>
  </r>
  <r>
    <x v="0"/>
    <x v="0"/>
    <x v="1"/>
    <x v="1"/>
    <x v="0"/>
    <x v="57"/>
    <x v="70"/>
    <x v="63"/>
    <x v="62"/>
    <x v="78"/>
    <x v="73"/>
    <x v="77"/>
    <x v="59"/>
    <x v="79"/>
  </r>
  <r>
    <x v="0"/>
    <x v="1"/>
    <x v="1"/>
    <x v="1"/>
    <x v="0"/>
    <x v="54"/>
    <x v="71"/>
    <x v="64"/>
    <x v="58"/>
    <x v="79"/>
    <x v="74"/>
    <x v="78"/>
    <x v="55"/>
    <x v="80"/>
  </r>
  <r>
    <x v="1"/>
    <x v="0"/>
    <x v="1"/>
    <x v="1"/>
    <x v="0"/>
    <x v="45"/>
    <x v="56"/>
    <x v="49"/>
    <x v="47"/>
    <x v="80"/>
    <x v="56"/>
    <x v="79"/>
    <x v="45"/>
    <x v="81"/>
  </r>
  <r>
    <x v="1"/>
    <x v="1"/>
    <x v="1"/>
    <x v="1"/>
    <x v="0"/>
    <x v="46"/>
    <x v="72"/>
    <x v="65"/>
    <x v="48"/>
    <x v="81"/>
    <x v="60"/>
    <x v="59"/>
    <x v="46"/>
    <x v="82"/>
  </r>
  <r>
    <x v="2"/>
    <x v="0"/>
    <x v="1"/>
    <x v="1"/>
    <x v="0"/>
    <x v="4"/>
    <x v="53"/>
    <x v="4"/>
    <x v="4"/>
    <x v="4"/>
    <x v="4"/>
    <x v="4"/>
    <x v="4"/>
    <x v="4"/>
  </r>
  <r>
    <x v="2"/>
    <x v="1"/>
    <x v="1"/>
    <x v="1"/>
    <x v="0"/>
    <x v="58"/>
    <x v="65"/>
    <x v="58"/>
    <x v="63"/>
    <x v="82"/>
    <x v="75"/>
    <x v="80"/>
    <x v="60"/>
    <x v="83"/>
  </r>
  <r>
    <x v="3"/>
    <x v="0"/>
    <x v="1"/>
    <x v="1"/>
    <x v="0"/>
    <x v="59"/>
    <x v="53"/>
    <x v="4"/>
    <x v="64"/>
    <x v="83"/>
    <x v="76"/>
    <x v="4"/>
    <x v="61"/>
    <x v="84"/>
  </r>
  <r>
    <x v="3"/>
    <x v="1"/>
    <x v="1"/>
    <x v="1"/>
    <x v="0"/>
    <x v="45"/>
    <x v="54"/>
    <x v="52"/>
    <x v="46"/>
    <x v="61"/>
    <x v="58"/>
    <x v="61"/>
    <x v="44"/>
    <x v="62"/>
  </r>
  <r>
    <x v="4"/>
    <x v="0"/>
    <x v="1"/>
    <x v="1"/>
    <x v="0"/>
    <x v="30"/>
    <x v="73"/>
    <x v="66"/>
    <x v="65"/>
    <x v="84"/>
    <x v="77"/>
    <x v="81"/>
    <x v="62"/>
    <x v="85"/>
  </r>
  <r>
    <x v="4"/>
    <x v="1"/>
    <x v="1"/>
    <x v="1"/>
    <x v="0"/>
    <x v="45"/>
    <x v="74"/>
    <x v="37"/>
    <x v="46"/>
    <x v="85"/>
    <x v="78"/>
    <x v="82"/>
    <x v="44"/>
    <x v="86"/>
  </r>
  <r>
    <x v="5"/>
    <x v="0"/>
    <x v="1"/>
    <x v="1"/>
    <x v="0"/>
    <x v="60"/>
    <x v="75"/>
    <x v="67"/>
    <x v="66"/>
    <x v="86"/>
    <x v="79"/>
    <x v="83"/>
    <x v="63"/>
    <x v="87"/>
  </r>
  <r>
    <x v="5"/>
    <x v="1"/>
    <x v="1"/>
    <x v="1"/>
    <x v="0"/>
    <x v="52"/>
    <x v="76"/>
    <x v="68"/>
    <x v="56"/>
    <x v="87"/>
    <x v="80"/>
    <x v="84"/>
    <x v="53"/>
    <x v="88"/>
  </r>
  <r>
    <x v="6"/>
    <x v="0"/>
    <x v="1"/>
    <x v="1"/>
    <x v="0"/>
    <x v="46"/>
    <x v="53"/>
    <x v="4"/>
    <x v="54"/>
    <x v="66"/>
    <x v="58"/>
    <x v="59"/>
    <x v="46"/>
    <x v="67"/>
  </r>
  <r>
    <x v="6"/>
    <x v="1"/>
    <x v="1"/>
    <x v="1"/>
    <x v="0"/>
    <x v="46"/>
    <x v="60"/>
    <x v="4"/>
    <x v="48"/>
    <x v="66"/>
    <x v="58"/>
    <x v="59"/>
    <x v="46"/>
    <x v="67"/>
  </r>
  <r>
    <x v="7"/>
    <x v="0"/>
    <x v="1"/>
    <x v="1"/>
    <x v="0"/>
    <x v="24"/>
    <x v="77"/>
    <x v="69"/>
    <x v="24"/>
    <x v="88"/>
    <x v="81"/>
    <x v="85"/>
    <x v="24"/>
    <x v="89"/>
  </r>
  <r>
    <x v="7"/>
    <x v="1"/>
    <x v="1"/>
    <x v="1"/>
    <x v="0"/>
    <x v="55"/>
    <x v="78"/>
    <x v="70"/>
    <x v="67"/>
    <x v="89"/>
    <x v="82"/>
    <x v="86"/>
    <x v="64"/>
    <x v="90"/>
  </r>
  <r>
    <x v="0"/>
    <x v="0"/>
    <x v="1"/>
    <x v="1"/>
    <x v="0"/>
    <x v="61"/>
    <x v="79"/>
    <x v="71"/>
    <x v="68"/>
    <x v="90"/>
    <x v="83"/>
    <x v="87"/>
    <x v="65"/>
    <x v="91"/>
  </r>
  <r>
    <x v="0"/>
    <x v="1"/>
    <x v="1"/>
    <x v="1"/>
    <x v="0"/>
    <x v="62"/>
    <x v="80"/>
    <x v="72"/>
    <x v="69"/>
    <x v="91"/>
    <x v="78"/>
    <x v="88"/>
    <x v="48"/>
    <x v="92"/>
  </r>
  <r>
    <x v="1"/>
    <x v="0"/>
    <x v="1"/>
    <x v="1"/>
    <x v="0"/>
    <x v="45"/>
    <x v="53"/>
    <x v="4"/>
    <x v="47"/>
    <x v="58"/>
    <x v="55"/>
    <x v="4"/>
    <x v="45"/>
    <x v="59"/>
  </r>
  <r>
    <x v="1"/>
    <x v="1"/>
    <x v="1"/>
    <x v="1"/>
    <x v="0"/>
    <x v="46"/>
    <x v="60"/>
    <x v="4"/>
    <x v="48"/>
    <x v="66"/>
    <x v="58"/>
    <x v="59"/>
    <x v="46"/>
    <x v="67"/>
  </r>
  <r>
    <x v="2"/>
    <x v="0"/>
    <x v="1"/>
    <x v="1"/>
    <x v="0"/>
    <x v="4"/>
    <x v="53"/>
    <x v="4"/>
    <x v="4"/>
    <x v="4"/>
    <x v="4"/>
    <x v="4"/>
    <x v="4"/>
    <x v="4"/>
  </r>
  <r>
    <x v="2"/>
    <x v="1"/>
    <x v="1"/>
    <x v="1"/>
    <x v="0"/>
    <x v="62"/>
    <x v="81"/>
    <x v="73"/>
    <x v="69"/>
    <x v="92"/>
    <x v="84"/>
    <x v="89"/>
    <x v="48"/>
    <x v="93"/>
  </r>
  <r>
    <x v="3"/>
    <x v="0"/>
    <x v="1"/>
    <x v="1"/>
    <x v="0"/>
    <x v="4"/>
    <x v="53"/>
    <x v="4"/>
    <x v="4"/>
    <x v="4"/>
    <x v="4"/>
    <x v="4"/>
    <x v="4"/>
    <x v="4"/>
  </r>
  <r>
    <x v="3"/>
    <x v="1"/>
    <x v="1"/>
    <x v="1"/>
    <x v="0"/>
    <x v="45"/>
    <x v="60"/>
    <x v="4"/>
    <x v="46"/>
    <x v="93"/>
    <x v="85"/>
    <x v="4"/>
    <x v="44"/>
    <x v="94"/>
  </r>
  <r>
    <x v="4"/>
    <x v="0"/>
    <x v="1"/>
    <x v="1"/>
    <x v="0"/>
    <x v="23"/>
    <x v="82"/>
    <x v="37"/>
    <x v="70"/>
    <x v="94"/>
    <x v="86"/>
    <x v="90"/>
    <x v="66"/>
    <x v="95"/>
  </r>
  <r>
    <x v="4"/>
    <x v="1"/>
    <x v="1"/>
    <x v="1"/>
    <x v="0"/>
    <x v="53"/>
    <x v="72"/>
    <x v="65"/>
    <x v="71"/>
    <x v="95"/>
    <x v="87"/>
    <x v="91"/>
    <x v="59"/>
    <x v="96"/>
  </r>
  <r>
    <x v="5"/>
    <x v="0"/>
    <x v="1"/>
    <x v="1"/>
    <x v="0"/>
    <x v="12"/>
    <x v="83"/>
    <x v="74"/>
    <x v="60"/>
    <x v="96"/>
    <x v="88"/>
    <x v="92"/>
    <x v="57"/>
    <x v="97"/>
  </r>
  <r>
    <x v="5"/>
    <x v="1"/>
    <x v="1"/>
    <x v="1"/>
    <x v="0"/>
    <x v="52"/>
    <x v="84"/>
    <x v="75"/>
    <x v="56"/>
    <x v="97"/>
    <x v="89"/>
    <x v="93"/>
    <x v="53"/>
    <x v="98"/>
  </r>
  <r>
    <x v="6"/>
    <x v="0"/>
    <x v="1"/>
    <x v="1"/>
    <x v="0"/>
    <x v="46"/>
    <x v="53"/>
    <x v="4"/>
    <x v="54"/>
    <x v="66"/>
    <x v="58"/>
    <x v="59"/>
    <x v="46"/>
    <x v="67"/>
  </r>
  <r>
    <x v="6"/>
    <x v="1"/>
    <x v="1"/>
    <x v="1"/>
    <x v="0"/>
    <x v="46"/>
    <x v="60"/>
    <x v="4"/>
    <x v="48"/>
    <x v="66"/>
    <x v="58"/>
    <x v="59"/>
    <x v="46"/>
    <x v="67"/>
  </r>
  <r>
    <x v="7"/>
    <x v="0"/>
    <x v="1"/>
    <x v="1"/>
    <x v="0"/>
    <x v="63"/>
    <x v="85"/>
    <x v="76"/>
    <x v="72"/>
    <x v="98"/>
    <x v="90"/>
    <x v="94"/>
    <x v="67"/>
    <x v="99"/>
  </r>
  <r>
    <x v="7"/>
    <x v="1"/>
    <x v="1"/>
    <x v="1"/>
    <x v="0"/>
    <x v="17"/>
    <x v="86"/>
    <x v="77"/>
    <x v="17"/>
    <x v="99"/>
    <x v="91"/>
    <x v="95"/>
    <x v="17"/>
    <x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4:D14" firstHeaderRow="1" firstDataRow="2" firstDataCol="1" rowPageCount="1" colPageCount="1"/>
  <pivotFields count="29">
    <pivotField axis="axisRow" compact="0" outline="0" subtotalTop="0" showAll="0" includeNewItemsInFilter="1">
      <items count="9">
        <item x="2"/>
        <item x="4"/>
        <item x="0"/>
        <item x="1"/>
        <item x="5"/>
        <item x="7"/>
        <item x="3"/>
        <item x="6"/>
        <item t="default"/>
      </items>
    </pivotField>
    <pivotField axis="axisPage" compact="0" outline="0" subtotalTop="0" showAll="0" includeNewItemsInFilter="1">
      <items count="3">
        <item x="1"/>
        <item x="0"/>
        <item t="default"/>
      </items>
    </pivotField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66">
        <item x="43"/>
        <item x="42"/>
        <item x="41"/>
        <item x="50"/>
        <item x="46"/>
        <item x="62"/>
        <item x="51"/>
        <item x="45"/>
        <item x="56"/>
        <item x="40"/>
        <item x="63"/>
        <item x="44"/>
        <item x="53"/>
        <item x="59"/>
        <item x="49"/>
        <item x="57"/>
        <item x="52"/>
        <item x="48"/>
        <item x="27"/>
        <item x="47"/>
        <item x="54"/>
        <item x="35"/>
        <item x="60"/>
        <item x="26"/>
        <item x="29"/>
        <item x="34"/>
        <item x="15"/>
        <item x="2"/>
        <item x="22"/>
        <item x="33"/>
        <item x="16"/>
        <item x="14"/>
        <item x="11"/>
        <item x="3"/>
        <item x="0"/>
        <item x="1"/>
        <item x="25"/>
        <item x="38"/>
        <item x="10"/>
        <item x="31"/>
        <item x="6"/>
        <item x="30"/>
        <item x="8"/>
        <item x="5"/>
        <item x="9"/>
        <item x="37"/>
        <item x="17"/>
        <item x="20"/>
        <item x="18"/>
        <item x="19"/>
        <item x="36"/>
        <item x="7"/>
        <item x="13"/>
        <item x="28"/>
        <item x="21"/>
        <item x="24"/>
        <item x="39"/>
        <item x="55"/>
        <item x="12"/>
        <item x="61"/>
        <item x="64"/>
        <item x="23"/>
        <item x="32"/>
        <item x="58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item="0"/>
  </pageFields>
  <dataFields count="1">
    <dataField name="Average of Recall" fld="12" subtotal="average" baseField="0" baseItem="0"/>
  </dataField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D13" firstHeaderRow="1" firstDataRow="2" firstDataCol="1" rowPageCount="1" colPageCount="1"/>
  <pivotFields count="29">
    <pivotField axis="axisRow" compact="0" outline="0" subtotalTop="0" showAll="0" includeNewItemsInFilter="1">
      <items count="9">
        <item x="2"/>
        <item x="4"/>
        <item x="0"/>
        <item x="1"/>
        <item x="5"/>
        <item x="7"/>
        <item x="3"/>
        <item x="6"/>
        <item t="default"/>
      </items>
    </pivotField>
    <pivotField axis="axisPage" compact="0" outline="0" subtotalTop="0" showAll="0" includeNewItemsInFilter="1">
      <items count="3">
        <item x="1"/>
        <item x="0"/>
        <item t="default"/>
      </items>
    </pivotField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95">
        <item x="58"/>
        <item x="33"/>
        <item x="5"/>
        <item x="19"/>
        <item x="38"/>
        <item x="36"/>
        <item x="14"/>
        <item x="51"/>
        <item x="32"/>
        <item x="49"/>
        <item x="8"/>
        <item x="30"/>
        <item x="10"/>
        <item x="28"/>
        <item x="22"/>
        <item x="42"/>
        <item x="24"/>
        <item x="46"/>
        <item x="34"/>
        <item x="44"/>
        <item x="40"/>
        <item x="57"/>
        <item x="6"/>
        <item x="55"/>
        <item x="1"/>
        <item x="26"/>
        <item x="47"/>
        <item x="3"/>
        <item x="12"/>
        <item x="18"/>
        <item x="53"/>
        <item x="16"/>
        <item x="20"/>
        <item x="76"/>
        <item x="82"/>
        <item x="66"/>
        <item x="91"/>
        <item x="63"/>
        <item x="62"/>
        <item x="87"/>
        <item x="85"/>
        <item x="90"/>
        <item x="71"/>
        <item x="81"/>
        <item x="80"/>
        <item x="72"/>
        <item x="67"/>
        <item x="59"/>
        <item x="78"/>
        <item x="56"/>
        <item x="75"/>
        <item x="68"/>
        <item x="77"/>
        <item x="86"/>
        <item x="61"/>
        <item x="65"/>
        <item x="74"/>
        <item x="70"/>
        <item x="84"/>
        <item x="60"/>
        <item x="23"/>
        <item x="37"/>
        <item x="50"/>
        <item x="9"/>
        <item x="93"/>
        <item x="45"/>
        <item x="43"/>
        <item x="15"/>
        <item x="17"/>
        <item x="31"/>
        <item x="29"/>
        <item x="88"/>
        <item x="0"/>
        <item x="2"/>
        <item x="89"/>
        <item x="21"/>
        <item x="35"/>
        <item x="92"/>
        <item x="48"/>
        <item x="25"/>
        <item x="7"/>
        <item x="39"/>
        <item x="79"/>
        <item x="11"/>
        <item x="69"/>
        <item x="52"/>
        <item x="13"/>
        <item x="27"/>
        <item x="73"/>
        <item x="64"/>
        <item x="41"/>
        <item x="83"/>
        <item x="54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item="0"/>
  </pageFields>
  <dataFields count="1">
    <dataField name="Average of Precision" fld="11" subtotal="average" baseField="0" baseItem="0"/>
  </dataFields>
  <pivotTableStyleInfo showRowHeaders="1" showColHeaders="1" showLastColumn="1"/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13" firstHeaderRow="1" firstDataRow="2" firstDataCol="1" rowPageCount="1" colPageCount="1"/>
  <pivotFields count="10">
    <pivotField axis="axisRow" compact="0" showAll="0">
      <items count="9">
        <item x="2"/>
        <item x="4"/>
        <item x="0"/>
        <item x="1"/>
        <item x="5"/>
        <item x="7"/>
        <item x="3"/>
        <item x="6"/>
        <item t="default"/>
      </items>
    </pivotField>
    <pivotField axis="axisPage" compact="0" showAll="0">
      <items count="3">
        <item x="1"/>
        <item x="0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00">
        <item x="80"/>
        <item x="58"/>
        <item x="65"/>
        <item x="79"/>
        <item x="57"/>
        <item x="56"/>
        <item x="84"/>
        <item x="60"/>
        <item x="92"/>
        <item x="68"/>
        <item x="62"/>
        <item x="89"/>
        <item x="78"/>
        <item x="69"/>
        <item x="72"/>
        <item x="90"/>
        <item x="91"/>
        <item x="61"/>
        <item x="77"/>
        <item x="55"/>
        <item x="94"/>
        <item x="59"/>
        <item x="93"/>
        <item x="71"/>
        <item x="81"/>
        <item x="83"/>
        <item x="67"/>
        <item x="70"/>
        <item x="64"/>
        <item x="86"/>
        <item x="96"/>
        <item x="32"/>
        <item x="63"/>
        <item x="95"/>
        <item x="73"/>
        <item x="36"/>
        <item x="33"/>
        <item x="74"/>
        <item x="85"/>
        <item x="44"/>
        <item x="30"/>
        <item x="38"/>
        <item x="88"/>
        <item x="39"/>
        <item x="43"/>
        <item x="17"/>
        <item x="42"/>
        <item x="2"/>
        <item x="26"/>
        <item x="15"/>
        <item x="5"/>
        <item x="31"/>
        <item x="18"/>
        <item x="12"/>
        <item x="19"/>
        <item x="3"/>
        <item x="34"/>
        <item x="0"/>
        <item x="52"/>
        <item x="1"/>
        <item x="29"/>
        <item x="37"/>
        <item x="50"/>
        <item x="8"/>
        <item x="9"/>
        <item x="22"/>
        <item x="76"/>
        <item x="48"/>
        <item x="25"/>
        <item x="6"/>
        <item x="46"/>
        <item x="49"/>
        <item x="45"/>
        <item x="10"/>
        <item x="11"/>
        <item x="51"/>
        <item x="23"/>
        <item x="16"/>
        <item x="41"/>
        <item x="14"/>
        <item x="20"/>
        <item x="21"/>
        <item x="28"/>
        <item x="24"/>
        <item x="7"/>
        <item x="47"/>
        <item x="35"/>
        <item x="66"/>
        <item x="54"/>
        <item x="98"/>
        <item x="13"/>
        <item x="75"/>
        <item x="87"/>
        <item x="27"/>
        <item x="97"/>
        <item x="40"/>
        <item x="82"/>
        <item x="53"/>
        <item x="4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item="0"/>
  </pageFields>
  <dataFields count="1">
    <dataField name="Average of ROC-AUC" fld="9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13" firstHeaderRow="1" firstDataRow="2" firstDataCol="1"/>
  <pivotFields count="10">
    <pivotField axis="axisRow" compact="0" showAll="0">
      <items count="9">
        <item x="2"/>
        <item x="4"/>
        <item x="0"/>
        <item x="1"/>
        <item x="5"/>
        <item x="7"/>
        <item x="3"/>
        <item x="6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00">
        <item x="80"/>
        <item x="58"/>
        <item x="65"/>
        <item x="79"/>
        <item x="57"/>
        <item x="56"/>
        <item x="84"/>
        <item x="60"/>
        <item x="92"/>
        <item x="68"/>
        <item x="62"/>
        <item x="89"/>
        <item x="78"/>
        <item x="69"/>
        <item x="72"/>
        <item x="90"/>
        <item x="91"/>
        <item x="61"/>
        <item x="77"/>
        <item x="55"/>
        <item x="94"/>
        <item x="59"/>
        <item x="93"/>
        <item x="71"/>
        <item x="81"/>
        <item x="83"/>
        <item x="67"/>
        <item x="70"/>
        <item x="64"/>
        <item x="86"/>
        <item x="96"/>
        <item x="32"/>
        <item x="63"/>
        <item x="95"/>
        <item x="73"/>
        <item x="36"/>
        <item x="33"/>
        <item x="74"/>
        <item x="85"/>
        <item x="44"/>
        <item x="30"/>
        <item x="38"/>
        <item x="88"/>
        <item x="39"/>
        <item x="43"/>
        <item x="17"/>
        <item x="42"/>
        <item x="2"/>
        <item x="26"/>
        <item x="15"/>
        <item x="5"/>
        <item x="31"/>
        <item x="18"/>
        <item x="12"/>
        <item x="19"/>
        <item x="3"/>
        <item x="34"/>
        <item x="0"/>
        <item x="52"/>
        <item x="1"/>
        <item x="29"/>
        <item x="37"/>
        <item x="50"/>
        <item x="8"/>
        <item x="9"/>
        <item x="22"/>
        <item x="76"/>
        <item x="48"/>
        <item x="25"/>
        <item x="6"/>
        <item x="46"/>
        <item x="49"/>
        <item x="45"/>
        <item x="10"/>
        <item x="11"/>
        <item x="51"/>
        <item x="23"/>
        <item x="16"/>
        <item x="41"/>
        <item x="14"/>
        <item x="20"/>
        <item x="21"/>
        <item x="28"/>
        <item x="24"/>
        <item x="7"/>
        <item x="47"/>
        <item x="35"/>
        <item x="66"/>
        <item x="54"/>
        <item x="98"/>
        <item x="13"/>
        <item x="75"/>
        <item x="87"/>
        <item x="27"/>
        <item x="97"/>
        <item x="40"/>
        <item x="82"/>
        <item x="53"/>
        <item x="4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ROC-AUC" fld="9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D13" firstHeaderRow="1" firstDataRow="2" firstDataCol="1" rowPageCount="1" colPageCount="1"/>
  <pivotFields count="29">
    <pivotField axis="axisRow" compact="0" outline="0" subtotalTop="0" showAll="0" includeNewItemsInFilter="1">
      <items count="9">
        <item x="2"/>
        <item x="4"/>
        <item x="0"/>
        <item x="1"/>
        <item x="5"/>
        <item x="7"/>
        <item x="3"/>
        <item x="6"/>
        <item t="default"/>
      </items>
    </pivotField>
    <pivotField axis="axisPage" compact="0" outline="0" subtotalTop="0" showAll="0" includeNewItemsInFilter="1">
      <items count="3">
        <item x="1"/>
        <item x="0"/>
        <item t="default"/>
      </items>
    </pivotField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99">
        <item x="60"/>
        <item x="80"/>
        <item x="59"/>
        <item x="58"/>
        <item x="33"/>
        <item x="84"/>
        <item x="62"/>
        <item x="5"/>
        <item x="91"/>
        <item x="19"/>
        <item x="38"/>
        <item x="36"/>
        <item x="47"/>
        <item x="69"/>
        <item x="32"/>
        <item x="14"/>
        <item x="52"/>
        <item x="30"/>
        <item x="50"/>
        <item x="8"/>
        <item x="10"/>
        <item x="22"/>
        <item x="28"/>
        <item x="42"/>
        <item x="46"/>
        <item x="79"/>
        <item x="64"/>
        <item x="24"/>
        <item x="40"/>
        <item x="44"/>
        <item x="34"/>
        <item x="70"/>
        <item x="6"/>
        <item x="1"/>
        <item x="26"/>
        <item x="56"/>
        <item x="3"/>
        <item x="48"/>
        <item x="12"/>
        <item x="18"/>
        <item x="54"/>
        <item x="90"/>
        <item x="73"/>
        <item x="16"/>
        <item x="20"/>
        <item x="89"/>
        <item x="78"/>
        <item x="57"/>
        <item x="86"/>
        <item x="61"/>
        <item x="63"/>
        <item x="66"/>
        <item x="95"/>
        <item x="65"/>
        <item x="81"/>
        <item x="94"/>
        <item x="74"/>
        <item x="85"/>
        <item x="93"/>
        <item x="75"/>
        <item x="71"/>
        <item x="92"/>
        <item x="68"/>
        <item x="72"/>
        <item x="83"/>
        <item x="88"/>
        <item x="77"/>
        <item x="45"/>
        <item x="17"/>
        <item x="2"/>
        <item x="43"/>
        <item x="15"/>
        <item x="31"/>
        <item x="0"/>
        <item x="29"/>
        <item x="37"/>
        <item x="9"/>
        <item x="51"/>
        <item x="25"/>
        <item x="23"/>
        <item x="11"/>
        <item x="39"/>
        <item x="53"/>
        <item x="97"/>
        <item x="21"/>
        <item x="49"/>
        <item x="7"/>
        <item x="35"/>
        <item x="67"/>
        <item x="96"/>
        <item x="13"/>
        <item x="76"/>
        <item x="27"/>
        <item x="87"/>
        <item x="41"/>
        <item x="82"/>
        <item x="55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item="0"/>
  </pageFields>
  <dataFields count="1">
    <dataField name="Average of F1 Score" fld="23" subtotal="average" baseField="0" baseItem="0"/>
  </dataFields>
  <pivotTableStyleInfo showRowHeaders="1" showColHeaders="1" showLastColumn="1"/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D13" firstHeaderRow="1" firstDataRow="2" firstDataCol="1" rowPageCount="1" colPageCount="1"/>
  <pivotFields count="29">
    <pivotField axis="axisRow" compact="0" outline="0" subtotalTop="0" showAll="0" includeNewItemsInFilter="1">
      <items count="9">
        <item x="2"/>
        <item x="4"/>
        <item x="0"/>
        <item x="1"/>
        <item x="5"/>
        <item x="7"/>
        <item x="3"/>
        <item x="6"/>
        <item t="default"/>
      </items>
    </pivotField>
    <pivotField axis="axisPage" compact="0" outline="0" subtotalTop="0" showAll="0" includeNewItemsInFilter="1">
      <items count="3">
        <item x="1"/>
        <item x="0"/>
        <item t="default"/>
      </items>
    </pivotField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95">
        <item x="44"/>
        <item x="36"/>
        <item x="22"/>
        <item x="16"/>
        <item x="50"/>
        <item x="42"/>
        <item x="9"/>
        <item x="30"/>
        <item x="2"/>
        <item x="28"/>
        <item x="0"/>
        <item x="46"/>
        <item x="18"/>
        <item x="5"/>
        <item x="24"/>
        <item x="38"/>
        <item x="11"/>
        <item x="32"/>
        <item x="52"/>
        <item x="20"/>
        <item x="14"/>
        <item x="34"/>
        <item x="48"/>
        <item x="27"/>
        <item x="7"/>
        <item x="23"/>
        <item x="37"/>
        <item x="51"/>
        <item x="41"/>
        <item x="55"/>
        <item x="10"/>
        <item x="49"/>
        <item x="8"/>
        <item x="21"/>
        <item x="35"/>
        <item x="83"/>
        <item x="33"/>
        <item x="6"/>
        <item x="13"/>
        <item x="91"/>
        <item x="82"/>
        <item x="90"/>
        <item x="72"/>
        <item x="64"/>
        <item x="47"/>
        <item x="73"/>
        <item x="1"/>
        <item x="29"/>
        <item x="19"/>
        <item x="65"/>
        <item x="43"/>
        <item x="3"/>
        <item x="31"/>
        <item x="15"/>
        <item x="25"/>
        <item x="12"/>
        <item x="45"/>
        <item x="39"/>
        <item x="53"/>
        <item x="17"/>
        <item x="26"/>
        <item x="78"/>
        <item x="60"/>
        <item x="70"/>
        <item x="86"/>
        <item x="77"/>
        <item x="57"/>
        <item x="56"/>
        <item x="76"/>
        <item x="85"/>
        <item x="69"/>
        <item x="68"/>
        <item x="75"/>
        <item x="81"/>
        <item x="67"/>
        <item x="63"/>
        <item x="59"/>
        <item x="61"/>
        <item x="58"/>
        <item x="87"/>
        <item x="62"/>
        <item x="89"/>
        <item x="88"/>
        <item x="40"/>
        <item x="80"/>
        <item x="71"/>
        <item x="93"/>
        <item x="66"/>
        <item x="92"/>
        <item x="74"/>
        <item x="84"/>
        <item x="54"/>
        <item x="79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item="0"/>
  </pageFields>
  <dataFields count="1">
    <dataField name="Average of Accuracy" fld="10" subtotal="average" baseField="0" baseItem="0"/>
  </dataFields>
  <pivotTableStyleInfo showRowHeaders="1" showColHeaders="1" showLastColumn="1"/>
</pivotTableDefinition>
</file>

<file path=xl/pivotTables/pivotTable7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D13" firstHeaderRow="1" firstDataRow="2" firstDataCol="1" rowPageCount="1" colPageCount="1"/>
  <pivotFields count="29">
    <pivotField axis="axisRow" compact="0" outline="0" subtotalTop="0" showAll="0" includeNewItemsInFilter="1">
      <items count="9">
        <item x="2"/>
        <item x="4"/>
        <item x="0"/>
        <item x="1"/>
        <item x="5"/>
        <item x="7"/>
        <item x="3"/>
        <item x="6"/>
        <item t="default"/>
      </items>
    </pivotField>
    <pivotField axis="axisPage" compact="0" outline="0" subtotalTop="0" showAll="0" includeNewItemsInFilter="1">
      <items count="3">
        <item x="1"/>
        <item x="0"/>
        <item t="default"/>
      </items>
    </pivotField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101">
        <item x="81"/>
        <item x="59"/>
        <item x="66"/>
        <item x="80"/>
        <item x="58"/>
        <item x="57"/>
        <item x="85"/>
        <item x="61"/>
        <item x="93"/>
        <item x="69"/>
        <item x="63"/>
        <item x="90"/>
        <item x="79"/>
        <item x="70"/>
        <item x="73"/>
        <item x="91"/>
        <item x="62"/>
        <item x="92"/>
        <item x="78"/>
        <item x="95"/>
        <item x="56"/>
        <item x="94"/>
        <item x="60"/>
        <item x="45"/>
        <item x="72"/>
        <item x="84"/>
        <item x="68"/>
        <item x="17"/>
        <item x="82"/>
        <item x="71"/>
        <item x="2"/>
        <item x="43"/>
        <item x="65"/>
        <item x="15"/>
        <item x="31"/>
        <item x="87"/>
        <item x="97"/>
        <item x="89"/>
        <item x="64"/>
        <item x="0"/>
        <item x="32"/>
        <item x="96"/>
        <item x="74"/>
        <item x="75"/>
        <item x="29"/>
        <item x="86"/>
        <item x="46"/>
        <item x="53"/>
        <item x="25"/>
        <item x="11"/>
        <item x="30"/>
        <item x="40"/>
        <item x="39"/>
        <item x="36"/>
        <item x="37"/>
        <item x="9"/>
        <item x="38"/>
        <item x="44"/>
        <item x="26"/>
        <item x="51"/>
        <item x="18"/>
        <item x="33"/>
        <item x="12"/>
        <item x="77"/>
        <item x="23"/>
        <item x="3"/>
        <item x="54"/>
        <item x="34"/>
        <item x="1"/>
        <item x="21"/>
        <item x="6"/>
        <item x="48"/>
        <item x="16"/>
        <item x="52"/>
        <item x="8"/>
        <item x="22"/>
        <item x="7"/>
        <item x="5"/>
        <item x="50"/>
        <item x="49"/>
        <item x="10"/>
        <item x="35"/>
        <item x="19"/>
        <item x="42"/>
        <item x="20"/>
        <item x="67"/>
        <item x="47"/>
        <item x="99"/>
        <item x="14"/>
        <item x="24"/>
        <item x="28"/>
        <item x="55"/>
        <item x="13"/>
        <item x="76"/>
        <item x="88"/>
        <item x="98"/>
        <item x="27"/>
        <item x="41"/>
        <item x="83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item="0"/>
  </pageFields>
  <dataFields count="1">
    <dataField name="Average of informedness" fld="26" subtotal="average" baseField="0" baseItem="0"/>
  </dataFields>
  <pivotTableStyleInfo showRowHeaders="1" showColHeaders="1" showLastColumn="1"/>
</pivotTableDefinition>
</file>

<file path=xl/pivotTables/pivotTable8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C7" firstHeaderRow="1" firstDataRow="2" firstDataCol="1" rowPageCount="1" colPageCount="1"/>
  <pivotFields count="29">
    <pivotField compact="0" outline="0" subtotalTop="0" showAll="0" includeNewItemsInFilter="1">
      <items count="9">
        <item x="2"/>
        <item x="4"/>
        <item x="0"/>
        <item x="1"/>
        <item x="5"/>
        <item x="7"/>
        <item x="3"/>
        <item x="6"/>
        <item t="default"/>
      </items>
    </pivotField>
    <pivotField axis="axisPage" compact="0" outline="0" subtotalTop="0" showAll="0" includeNewItemsInFilter="1">
      <items count="3">
        <item x="1"/>
        <item x="0"/>
        <item t="default"/>
      </items>
    </pivotField>
    <pivotField axis="axisRow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66">
        <item x="43"/>
        <item x="42"/>
        <item x="41"/>
        <item x="50"/>
        <item x="46"/>
        <item x="62"/>
        <item x="51"/>
        <item x="45"/>
        <item x="56"/>
        <item x="40"/>
        <item x="63"/>
        <item x="44"/>
        <item x="53"/>
        <item x="59"/>
        <item x="49"/>
        <item x="57"/>
        <item x="52"/>
        <item x="48"/>
        <item x="27"/>
        <item x="47"/>
        <item x="54"/>
        <item x="35"/>
        <item x="60"/>
        <item x="26"/>
        <item x="29"/>
        <item x="34"/>
        <item x="15"/>
        <item x="2"/>
        <item x="22"/>
        <item x="33"/>
        <item x="16"/>
        <item x="14"/>
        <item x="11"/>
        <item x="3"/>
        <item x="0"/>
        <item x="1"/>
        <item x="25"/>
        <item x="38"/>
        <item x="10"/>
        <item x="31"/>
        <item x="6"/>
        <item x="30"/>
        <item x="8"/>
        <item x="5"/>
        <item x="9"/>
        <item x="37"/>
        <item x="17"/>
        <item x="20"/>
        <item x="18"/>
        <item x="19"/>
        <item x="36"/>
        <item x="7"/>
        <item x="13"/>
        <item x="28"/>
        <item x="21"/>
        <item x="24"/>
        <item x="39"/>
        <item x="55"/>
        <item x="12"/>
        <item x="61"/>
        <item x="64"/>
        <item x="23"/>
        <item x="32"/>
        <item x="58"/>
        <item x="4"/>
        <item t="default"/>
      </items>
    </pivotField>
    <pivotField dataField="1" compact="0" outline="0" subtotalTop="0" showAll="0" includeNewItemsInFilter="1">
      <items count="101">
        <item x="45"/>
        <item x="17"/>
        <item x="2"/>
        <item x="43"/>
        <item x="15"/>
        <item x="31"/>
        <item x="0"/>
        <item x="29"/>
        <item x="37"/>
        <item x="25"/>
        <item x="53"/>
        <item x="11"/>
        <item x="9"/>
        <item x="39"/>
        <item x="51"/>
        <item x="23"/>
        <item x="21"/>
        <item x="7"/>
        <item x="49"/>
        <item x="35"/>
        <item x="13"/>
        <item x="81"/>
        <item x="59"/>
        <item x="66"/>
        <item x="80"/>
        <item x="58"/>
        <item x="57"/>
        <item x="85"/>
        <item x="61"/>
        <item x="93"/>
        <item x="69"/>
        <item x="63"/>
        <item x="90"/>
        <item x="79"/>
        <item x="70"/>
        <item x="73"/>
        <item x="27"/>
        <item x="91"/>
        <item x="92"/>
        <item x="62"/>
        <item x="78"/>
        <item x="56"/>
        <item x="95"/>
        <item x="60"/>
        <item x="94"/>
        <item x="72"/>
        <item x="84"/>
        <item x="82"/>
        <item x="68"/>
        <item x="71"/>
        <item x="65"/>
        <item x="87"/>
        <item x="97"/>
        <item x="64"/>
        <item x="96"/>
        <item x="74"/>
        <item x="75"/>
        <item x="86"/>
        <item x="89"/>
        <item x="77"/>
        <item x="41"/>
        <item x="67"/>
        <item x="99"/>
        <item x="32"/>
        <item x="36"/>
        <item x="46"/>
        <item x="30"/>
        <item x="40"/>
        <item x="33"/>
        <item x="38"/>
        <item x="44"/>
        <item x="26"/>
        <item x="18"/>
        <item x="12"/>
        <item x="76"/>
        <item x="3"/>
        <item x="54"/>
        <item x="34"/>
        <item x="1"/>
        <item x="5"/>
        <item x="19"/>
        <item x="52"/>
        <item x="8"/>
        <item x="22"/>
        <item x="6"/>
        <item x="48"/>
        <item x="16"/>
        <item x="50"/>
        <item x="10"/>
        <item x="42"/>
        <item x="47"/>
        <item x="20"/>
        <item x="14"/>
        <item x="88"/>
        <item x="24"/>
        <item x="28"/>
        <item x="98"/>
        <item x="55"/>
        <item x="83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0"/>
  </pageFields>
  <dataFields count="2">
    <dataField name="Average of Recall" fld="12" subtotal="average" baseField="0" baseItem="0"/>
    <dataField name="Average of Specificity" fld="13" subtotal="average" baseField="0" baseItem="0"/>
  </dataFields>
  <pivotTableStyleInfo showRowHeaders="1" showColHeaders="1" showLastColumn="1"/>
</pivotTableDefinition>
</file>

<file path=xl/pivotTables/pivotTable9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J7" firstHeaderRow="1" firstDataRow="2" firstDataCol="1" rowPageCount="1" colPageCount="1"/>
  <pivotFields count="29">
    <pivotField axis="axisCol" compact="0" outline="0" subtotalTop="0" showAll="0" includeNewItemsInFilter="1">
      <items count="9">
        <item x="2"/>
        <item x="4"/>
        <item x="0"/>
        <item x="1"/>
        <item x="5"/>
        <item x="7"/>
        <item x="3"/>
        <item x="6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axis="axisPage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66">
        <item x="43"/>
        <item x="42"/>
        <item x="41"/>
        <item x="50"/>
        <item x="46"/>
        <item x="62"/>
        <item x="51"/>
        <item x="45"/>
        <item x="56"/>
        <item x="40"/>
        <item x="63"/>
        <item x="44"/>
        <item x="53"/>
        <item x="59"/>
        <item x="49"/>
        <item x="57"/>
        <item x="52"/>
        <item x="48"/>
        <item x="27"/>
        <item x="47"/>
        <item x="54"/>
        <item x="35"/>
        <item x="60"/>
        <item x="26"/>
        <item x="29"/>
        <item x="34"/>
        <item x="15"/>
        <item x="2"/>
        <item x="22"/>
        <item x="33"/>
        <item x="16"/>
        <item x="14"/>
        <item x="11"/>
        <item x="3"/>
        <item x="0"/>
        <item x="1"/>
        <item x="25"/>
        <item x="38"/>
        <item x="10"/>
        <item x="31"/>
        <item x="6"/>
        <item x="30"/>
        <item x="8"/>
        <item x="5"/>
        <item x="9"/>
        <item x="37"/>
        <item x="17"/>
        <item x="20"/>
        <item x="18"/>
        <item x="19"/>
        <item x="36"/>
        <item x="7"/>
        <item x="13"/>
        <item x="28"/>
        <item x="21"/>
        <item x="24"/>
        <item x="39"/>
        <item x="55"/>
        <item x="12"/>
        <item x="61"/>
        <item x="64"/>
        <item x="23"/>
        <item x="32"/>
        <item x="58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2" item="1"/>
  </pageFields>
  <dataFields count="1">
    <dataField name="Average of Recall" fld="12" subtotal="average" baseField="0" baseItem="0"/>
  </dataFields>
  <pivotTableStyleInfo showRowHeaders="1" showColHeaders="1" showLastColumn="1"/>
</pivotTableDefinition>
</file>

<file path=xl/pivotTables/pivotTable10.xml><?xml version="1.0" encoding="utf-8"?>
<pivotTableDefinition xmlns="http://schemas.openxmlformats.org/spreadsheetml/2006/main" name="PivotTable1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13" firstHeaderRow="1" firstDataRow="2" firstDataCol="1" rowPageCount="1" colPageCount="1"/>
  <pivotFields count="14">
    <pivotField axis="axisRow" compact="0" showAll="0">
      <items count="9">
        <item x="2"/>
        <item x="4"/>
        <item x="0"/>
        <item x="1"/>
        <item x="5"/>
        <item x="7"/>
        <item x="3"/>
        <item x="6"/>
        <item t="default"/>
      </items>
    </pivotField>
    <pivotField axis="axisPage" compact="0" showAll="0">
      <items count="3">
        <item x="1"/>
        <item x="0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item="0"/>
  </pageFields>
  <dataFields count="1">
    <dataField name="Average of Recall" fld="12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3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20:J30" firstHeaderRow="1" firstDataRow="2" firstDataCol="1" rowPageCount="1" colPageCount="1"/>
  <pivotFields count="14">
    <pivotField axis="axisRow" compact="0" showAll="0">
      <items count="9">
        <item x="2"/>
        <item x="4"/>
        <item x="0"/>
        <item x="1"/>
        <item x="5"/>
        <item x="7"/>
        <item x="3"/>
        <item x="6"/>
        <item t="default"/>
      </items>
    </pivotField>
    <pivotField axis="axisPage" compact="0" showAll="0">
      <items count="3">
        <item x="1"/>
        <item x="0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item="0"/>
  </pageFields>
  <dataFields count="1">
    <dataField name="Average of Specificity" fld="1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Informedness" TargetMode="External"/><Relationship Id="rId2" Type="http://schemas.openxmlformats.org/officeDocument/2006/relationships/hyperlink" Target="https://en.wikipedia.org/wiki/Fowlkes%E2%80%93Mallows_index" TargetMode="External"/><Relationship Id="rId1" Type="http://schemas.openxmlformats.org/officeDocument/2006/relationships/hyperlink" Target="https://en.wikipedia.org/wiki/Phi_coefficien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32"/>
  <sheetViews>
    <sheetView zoomScale="85" zoomScaleNormal="85" zoomScaleSheetLayoutView="60" topLeftCell="A99" workbookViewId="0">
      <selection activeCell="A132" sqref="A132"/>
    </sheetView>
  </sheetViews>
  <sheetFormatPr defaultColWidth="10" defaultRowHeight="14.4"/>
  <cols>
    <col min="1" max="1" width="18" customWidth="1"/>
    <col min="10" max="10" width="21.8888888888889" customWidth="1"/>
    <col min="11" max="14" width="12.8888888888889"/>
    <col min="15" max="15" width="23.1111111111111" customWidth="1"/>
    <col min="16" max="17" width="12.8888888888889"/>
    <col min="18" max="18" width="18.7777777777778" customWidth="1"/>
    <col min="19" max="19" width="17.2222222222222" customWidth="1"/>
    <col min="20" max="20" width="19.8888888888889" customWidth="1"/>
    <col min="21" max="21" width="20.8888888888889" customWidth="1"/>
    <col min="22" max="22" width="18.3333333333333" customWidth="1"/>
    <col min="23" max="23" width="13.3333333333333" customWidth="1"/>
    <col min="24" max="24" width="12.8888888888889"/>
    <col min="25" max="25" width="14" customWidth="1"/>
    <col min="26" max="26" width="20.8888888888889" customWidth="1"/>
    <col min="27" max="27" width="13.7777777777778" customWidth="1"/>
    <col min="28" max="28" width="11.6666666666667" customWidth="1"/>
    <col min="29" max="29" width="18.2222222222222" customWidth="1"/>
  </cols>
  <sheetData>
    <row r="1" ht="16.8" spans="1:29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9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t="s">
        <v>27</v>
      </c>
      <c r="AC1" t="s">
        <v>28</v>
      </c>
    </row>
    <row r="2" spans="1:29">
      <c r="A2" s="17" t="s">
        <v>29</v>
      </c>
      <c r="B2" s="17" t="s">
        <v>30</v>
      </c>
      <c r="C2" s="17" t="s">
        <v>31</v>
      </c>
      <c r="D2" s="17">
        <v>744</v>
      </c>
      <c r="E2" s="17">
        <v>186</v>
      </c>
      <c r="F2" s="17">
        <v>73</v>
      </c>
      <c r="G2" s="17">
        <v>525</v>
      </c>
      <c r="H2" s="17">
        <v>33</v>
      </c>
      <c r="I2" s="17">
        <v>113</v>
      </c>
      <c r="J2" s="17">
        <v>0.666666666666666</v>
      </c>
      <c r="K2">
        <f>(F2+G2)/(I2+H2+G2+F2)</f>
        <v>0.803763440860215</v>
      </c>
      <c r="L2">
        <f>IF(F2=0,0,F2/(H2+F2))</f>
        <v>0.688679245283019</v>
      </c>
      <c r="M2" s="18">
        <f>IF(F2=0,0,F2/(F2+I2))</f>
        <v>0.39247311827957</v>
      </c>
      <c r="N2">
        <f>IF(G2=0,0,G2/(I2+G2))</f>
        <v>0.822884012539185</v>
      </c>
      <c r="O2">
        <f>G2/(I2+G2)</f>
        <v>0.822884012539185</v>
      </c>
      <c r="P2">
        <f>I2/(I2+F2)</f>
        <v>0.60752688172043</v>
      </c>
      <c r="Q2">
        <f>H2/(H2+G2)</f>
        <v>0.0591397849462366</v>
      </c>
      <c r="R2">
        <f>IF(H2=0,0,H2/(H2+F2))</f>
        <v>0.311320754716981</v>
      </c>
      <c r="S2">
        <f>I2/(I2+G2)</f>
        <v>0.177115987460815</v>
      </c>
      <c r="T2">
        <f>IF(Q2=0,0,M2/Q2)</f>
        <v>6.63636363636364</v>
      </c>
      <c r="U2">
        <f>P2/N2</f>
        <v>0.738289810547875</v>
      </c>
      <c r="V2">
        <f>IF(SQRT(Q2)=0,0,SQRT(Q2)/(SQRT(M2)+SQRT(Q2)))</f>
        <v>0.279633139203379</v>
      </c>
      <c r="W2">
        <f>F2/(F2+I2+H2)</f>
        <v>0.333333333333333</v>
      </c>
      <c r="X2">
        <f>(2*F2)/(H2+I2+(2*F2))</f>
        <v>0.5</v>
      </c>
      <c r="Y2">
        <f>((F2*G2)-(H2*I2))/SQRT((F2+H2)*(F2+I2)*(G2+I2)*(G2+H2))</f>
        <v>0.412941988590086</v>
      </c>
      <c r="Z2">
        <f>SQRT(L2*M2)</f>
        <v>0.519892383951378</v>
      </c>
      <c r="AA2">
        <f>M2+N2-1</f>
        <v>0.215357130818755</v>
      </c>
      <c r="AB2">
        <f>L2+O2-1</f>
        <v>0.511563257822204</v>
      </c>
      <c r="AC2">
        <f>IF(U2=0,0,T2/U2)</f>
        <v>8.98883276126875</v>
      </c>
    </row>
    <row r="3" spans="1:29">
      <c r="A3" s="17" t="s">
        <v>29</v>
      </c>
      <c r="B3" s="17" t="s">
        <v>32</v>
      </c>
      <c r="C3" s="17" t="s">
        <v>31</v>
      </c>
      <c r="D3" s="17">
        <v>744</v>
      </c>
      <c r="E3" s="17">
        <v>186</v>
      </c>
      <c r="F3" s="17">
        <v>25</v>
      </c>
      <c r="G3" s="17">
        <v>9278</v>
      </c>
      <c r="H3" s="17">
        <v>632</v>
      </c>
      <c r="I3" s="17">
        <v>37</v>
      </c>
      <c r="J3" s="17">
        <v>0.669725920380196</v>
      </c>
      <c r="K3">
        <f t="shared" ref="K3:K34" si="0">(F3+G3)/(I3+H3+G3+F3)</f>
        <v>0.932912154031288</v>
      </c>
      <c r="L3">
        <f t="shared" ref="L3:L34" si="1">IF(F3=0,0,F3/(H3+F3))</f>
        <v>0.0380517503805175</v>
      </c>
      <c r="M3" s="18">
        <f t="shared" ref="M3:M34" si="2">IF(F3=0,0,F3/(F3+I3))</f>
        <v>0.403225806451613</v>
      </c>
      <c r="N3">
        <f t="shared" ref="N3:N34" si="3">IF(G3=0,0,G3/(I3+G3))</f>
        <v>0.996027911969941</v>
      </c>
      <c r="O3">
        <f t="shared" ref="O3:O34" si="4">G3/(I3+G3)</f>
        <v>0.996027911969941</v>
      </c>
      <c r="P3">
        <f t="shared" ref="P3:P34" si="5">I3/(I3+F3)</f>
        <v>0.596774193548387</v>
      </c>
      <c r="Q3">
        <f t="shared" ref="Q3:Q34" si="6">H3/(H3+G3)</f>
        <v>0.063773965691221</v>
      </c>
      <c r="R3">
        <f t="shared" ref="R3:R34" si="7">IF(H3=0,0,H3/(H3+F3))</f>
        <v>0.961948249619482</v>
      </c>
      <c r="S3">
        <f t="shared" ref="S3:S34" si="8">I3/(I3+G3)</f>
        <v>0.00397208803005904</v>
      </c>
      <c r="T3">
        <f t="shared" ref="T3:T34" si="9">IF(Q3=0,0,M3/Q3)</f>
        <v>6.32273376888526</v>
      </c>
      <c r="U3">
        <f t="shared" ref="U3:U34" si="10">P3/N3</f>
        <v>0.599154086322831</v>
      </c>
      <c r="V3">
        <f t="shared" ref="V3:V34" si="11">IF(SQRT(Q3)=0,0,SQRT(Q3)/(SQRT(M3)+SQRT(Q3)))</f>
        <v>0.284535117180077</v>
      </c>
      <c r="W3">
        <f t="shared" ref="W3:W34" si="12">F3/(F3+I3+H3)</f>
        <v>0.0360230547550432</v>
      </c>
      <c r="X3">
        <f t="shared" ref="X3:X34" si="13">(2*F3)/(H3+I3+(2*F3))</f>
        <v>0.0695410292072323</v>
      </c>
      <c r="Y3">
        <f t="shared" ref="Y3:Y34" si="14">((F3*G3)-(H3*I3))/SQRT((F3+H3)*(F3+I3)*(G3+I3)*(G3+H3))</f>
        <v>0.107556515922355</v>
      </c>
      <c r="Z3">
        <f t="shared" ref="Z3:Z34" si="15">SQRT(L3*M3)</f>
        <v>0.123868671317971</v>
      </c>
      <c r="AA3">
        <f t="shared" ref="AA3:AA34" si="16">M3+N3-1</f>
        <v>0.399253718421554</v>
      </c>
      <c r="AB3">
        <f t="shared" ref="AB3:AB34" si="17">L3+O3-1</f>
        <v>0.0340796623504585</v>
      </c>
      <c r="AC3">
        <f t="shared" ref="AC3:AC34" si="18">IF(U3=0,0,T3/U3)</f>
        <v>10.5527674987407</v>
      </c>
    </row>
    <row r="4" spans="1:29">
      <c r="A4" s="17" t="s">
        <v>33</v>
      </c>
      <c r="B4" s="17" t="s">
        <v>30</v>
      </c>
      <c r="C4" s="17" t="s">
        <v>31</v>
      </c>
      <c r="D4" s="17">
        <v>744</v>
      </c>
      <c r="E4" s="17">
        <v>186</v>
      </c>
      <c r="F4" s="17">
        <v>62</v>
      </c>
      <c r="G4" s="17">
        <v>530</v>
      </c>
      <c r="H4" s="17">
        <v>28</v>
      </c>
      <c r="I4" s="17">
        <v>124</v>
      </c>
      <c r="J4" s="17">
        <v>0.641577060931899</v>
      </c>
      <c r="K4">
        <f t="shared" si="0"/>
        <v>0.795698924731183</v>
      </c>
      <c r="L4">
        <f t="shared" si="1"/>
        <v>0.688888888888889</v>
      </c>
      <c r="M4" s="18">
        <f t="shared" si="2"/>
        <v>0.333333333333333</v>
      </c>
      <c r="N4">
        <f t="shared" si="3"/>
        <v>0.81039755351682</v>
      </c>
      <c r="O4">
        <f t="shared" si="4"/>
        <v>0.81039755351682</v>
      </c>
      <c r="P4">
        <f t="shared" si="5"/>
        <v>0.666666666666667</v>
      </c>
      <c r="Q4">
        <f t="shared" si="6"/>
        <v>0.0501792114695341</v>
      </c>
      <c r="R4">
        <f t="shared" si="7"/>
        <v>0.311111111111111</v>
      </c>
      <c r="S4">
        <f t="shared" si="8"/>
        <v>0.18960244648318</v>
      </c>
      <c r="T4">
        <f t="shared" si="9"/>
        <v>6.64285714285714</v>
      </c>
      <c r="U4">
        <f t="shared" si="10"/>
        <v>0.822641509433962</v>
      </c>
      <c r="V4">
        <f t="shared" si="11"/>
        <v>0.279534646903006</v>
      </c>
      <c r="W4">
        <f t="shared" si="12"/>
        <v>0.289719626168224</v>
      </c>
      <c r="X4">
        <f t="shared" si="13"/>
        <v>0.449275362318841</v>
      </c>
      <c r="Y4">
        <f t="shared" si="14"/>
        <v>0.37599868903746</v>
      </c>
      <c r="Z4">
        <f t="shared" si="15"/>
        <v>0.479196858952174</v>
      </c>
      <c r="AA4">
        <f t="shared" si="16"/>
        <v>0.143730886850153</v>
      </c>
      <c r="AB4">
        <f t="shared" si="17"/>
        <v>0.499286442405708</v>
      </c>
      <c r="AC4">
        <f t="shared" si="18"/>
        <v>8.07503276539974</v>
      </c>
    </row>
    <row r="5" spans="1:29">
      <c r="A5" s="17" t="s">
        <v>33</v>
      </c>
      <c r="B5" s="17" t="s">
        <v>32</v>
      </c>
      <c r="C5" s="17" t="s">
        <v>31</v>
      </c>
      <c r="D5" s="17">
        <v>744</v>
      </c>
      <c r="E5" s="17">
        <v>186</v>
      </c>
      <c r="F5" s="17">
        <v>24</v>
      </c>
      <c r="G5" s="17">
        <v>9339</v>
      </c>
      <c r="H5" s="17">
        <v>571</v>
      </c>
      <c r="I5" s="17">
        <v>38</v>
      </c>
      <c r="J5" s="17">
        <v>0.664739103544806</v>
      </c>
      <c r="K5">
        <f t="shared" si="0"/>
        <v>0.938929001203369</v>
      </c>
      <c r="L5">
        <f t="shared" si="1"/>
        <v>0.0403361344537815</v>
      </c>
      <c r="M5" s="18">
        <f t="shared" si="2"/>
        <v>0.387096774193548</v>
      </c>
      <c r="N5">
        <f t="shared" si="3"/>
        <v>0.995947531193345</v>
      </c>
      <c r="O5">
        <f t="shared" si="4"/>
        <v>0.995947531193345</v>
      </c>
      <c r="P5">
        <f t="shared" si="5"/>
        <v>0.612903225806452</v>
      </c>
      <c r="Q5">
        <f t="shared" si="6"/>
        <v>0.0576185671039354</v>
      </c>
      <c r="R5">
        <f t="shared" si="7"/>
        <v>0.959663865546219</v>
      </c>
      <c r="S5">
        <f t="shared" si="8"/>
        <v>0.00405246880665458</v>
      </c>
      <c r="T5">
        <f t="shared" si="9"/>
        <v>6.71826450483024</v>
      </c>
      <c r="U5">
        <f t="shared" si="10"/>
        <v>0.61539710337157</v>
      </c>
      <c r="V5">
        <f t="shared" si="11"/>
        <v>0.278399419177803</v>
      </c>
      <c r="W5">
        <f t="shared" si="12"/>
        <v>0.037914691943128</v>
      </c>
      <c r="X5">
        <f t="shared" si="13"/>
        <v>0.0730593607305936</v>
      </c>
      <c r="Y5">
        <f t="shared" si="14"/>
        <v>0.109337446028588</v>
      </c>
      <c r="Z5">
        <f t="shared" si="15"/>
        <v>0.124955942357681</v>
      </c>
      <c r="AA5">
        <f t="shared" si="16"/>
        <v>0.383044305386894</v>
      </c>
      <c r="AB5">
        <f t="shared" si="17"/>
        <v>0.036283665647127</v>
      </c>
      <c r="AC5">
        <f t="shared" si="18"/>
        <v>10.9169582827461</v>
      </c>
    </row>
    <row r="6" spans="1:29">
      <c r="A6" s="17" t="s">
        <v>34</v>
      </c>
      <c r="B6" s="17" t="s">
        <v>30</v>
      </c>
      <c r="C6" s="17" t="s">
        <v>31</v>
      </c>
      <c r="D6" s="17">
        <v>744</v>
      </c>
      <c r="E6" s="17">
        <v>186</v>
      </c>
      <c r="F6" s="17">
        <v>186</v>
      </c>
      <c r="G6" s="17">
        <v>558</v>
      </c>
      <c r="H6" s="17">
        <v>0</v>
      </c>
      <c r="I6" s="17">
        <v>0</v>
      </c>
      <c r="J6" s="17">
        <v>1</v>
      </c>
      <c r="K6">
        <f t="shared" si="0"/>
        <v>1</v>
      </c>
      <c r="L6">
        <f t="shared" si="1"/>
        <v>1</v>
      </c>
      <c r="M6" s="18">
        <f t="shared" si="2"/>
        <v>1</v>
      </c>
      <c r="N6">
        <f t="shared" si="3"/>
        <v>1</v>
      </c>
      <c r="O6">
        <f t="shared" si="4"/>
        <v>1</v>
      </c>
      <c r="P6">
        <f t="shared" si="5"/>
        <v>0</v>
      </c>
      <c r="Q6">
        <f t="shared" si="6"/>
        <v>0</v>
      </c>
      <c r="R6">
        <f t="shared" si="7"/>
        <v>0</v>
      </c>
      <c r="S6">
        <f t="shared" si="8"/>
        <v>0</v>
      </c>
      <c r="T6">
        <f t="shared" si="9"/>
        <v>0</v>
      </c>
      <c r="U6">
        <f t="shared" si="10"/>
        <v>0</v>
      </c>
      <c r="V6">
        <f t="shared" si="11"/>
        <v>0</v>
      </c>
      <c r="W6">
        <f t="shared" si="12"/>
        <v>1</v>
      </c>
      <c r="X6">
        <f t="shared" si="13"/>
        <v>1</v>
      </c>
      <c r="Y6">
        <f t="shared" si="14"/>
        <v>1</v>
      </c>
      <c r="Z6">
        <f t="shared" si="15"/>
        <v>1</v>
      </c>
      <c r="AA6">
        <f t="shared" si="16"/>
        <v>1</v>
      </c>
      <c r="AB6">
        <f t="shared" si="17"/>
        <v>1</v>
      </c>
      <c r="AC6">
        <f t="shared" si="18"/>
        <v>0</v>
      </c>
    </row>
    <row r="7" spans="1:29">
      <c r="A7" s="17" t="s">
        <v>34</v>
      </c>
      <c r="B7" s="17" t="s">
        <v>32</v>
      </c>
      <c r="C7" s="17" t="s">
        <v>31</v>
      </c>
      <c r="D7" s="17">
        <v>744</v>
      </c>
      <c r="E7" s="17">
        <v>186</v>
      </c>
      <c r="F7" s="17">
        <v>30</v>
      </c>
      <c r="G7" s="17">
        <v>8111</v>
      </c>
      <c r="H7" s="17">
        <v>1799</v>
      </c>
      <c r="I7" s="17">
        <v>32</v>
      </c>
      <c r="J7" s="17">
        <v>0.651168581751896</v>
      </c>
      <c r="K7">
        <f t="shared" si="0"/>
        <v>0.816385880465303</v>
      </c>
      <c r="L7">
        <f t="shared" si="1"/>
        <v>0.0164024056861673</v>
      </c>
      <c r="M7" s="18">
        <f t="shared" si="2"/>
        <v>0.483870967741935</v>
      </c>
      <c r="N7">
        <f t="shared" si="3"/>
        <v>0.996070244381677</v>
      </c>
      <c r="O7">
        <f t="shared" si="4"/>
        <v>0.996070244381677</v>
      </c>
      <c r="P7">
        <f t="shared" si="5"/>
        <v>0.516129032258065</v>
      </c>
      <c r="Q7">
        <f t="shared" si="6"/>
        <v>0.181533804238143</v>
      </c>
      <c r="R7">
        <f t="shared" si="7"/>
        <v>0.983597594313833</v>
      </c>
      <c r="S7">
        <f t="shared" si="8"/>
        <v>0.00392975561832249</v>
      </c>
      <c r="T7">
        <f t="shared" si="9"/>
        <v>2.66545930534885</v>
      </c>
      <c r="U7">
        <f t="shared" si="10"/>
        <v>0.518165295238247</v>
      </c>
      <c r="V7">
        <f t="shared" si="11"/>
        <v>0.379849234727569</v>
      </c>
      <c r="W7">
        <f t="shared" si="12"/>
        <v>0.016120365394949</v>
      </c>
      <c r="X7">
        <f t="shared" si="13"/>
        <v>0.0317292437863564</v>
      </c>
      <c r="Y7">
        <f t="shared" si="14"/>
        <v>0.0614080258833288</v>
      </c>
      <c r="Z7">
        <f t="shared" si="15"/>
        <v>0.0890878662482248</v>
      </c>
      <c r="AA7">
        <f t="shared" si="16"/>
        <v>0.479941212123613</v>
      </c>
      <c r="AB7">
        <f t="shared" si="17"/>
        <v>0.0124726500678447</v>
      </c>
      <c r="AC7">
        <f t="shared" si="18"/>
        <v>5.14403285948223</v>
      </c>
    </row>
    <row r="8" spans="1:29">
      <c r="A8" s="17" t="s">
        <v>35</v>
      </c>
      <c r="B8" s="17" t="s">
        <v>30</v>
      </c>
      <c r="C8" s="17" t="s">
        <v>31</v>
      </c>
      <c r="D8" s="17">
        <v>744</v>
      </c>
      <c r="E8" s="17">
        <v>186</v>
      </c>
      <c r="F8" s="17">
        <v>186</v>
      </c>
      <c r="G8" s="17">
        <v>558</v>
      </c>
      <c r="H8" s="17">
        <v>0</v>
      </c>
      <c r="I8" s="17">
        <v>0</v>
      </c>
      <c r="J8" s="17">
        <v>1</v>
      </c>
      <c r="K8">
        <f t="shared" si="0"/>
        <v>1</v>
      </c>
      <c r="L8">
        <f t="shared" si="1"/>
        <v>1</v>
      </c>
      <c r="M8" s="18">
        <f t="shared" si="2"/>
        <v>1</v>
      </c>
      <c r="N8">
        <f t="shared" si="3"/>
        <v>1</v>
      </c>
      <c r="O8">
        <f t="shared" si="4"/>
        <v>1</v>
      </c>
      <c r="P8">
        <f t="shared" si="5"/>
        <v>0</v>
      </c>
      <c r="Q8">
        <f t="shared" si="6"/>
        <v>0</v>
      </c>
      <c r="R8">
        <f t="shared" si="7"/>
        <v>0</v>
      </c>
      <c r="S8">
        <f t="shared" si="8"/>
        <v>0</v>
      </c>
      <c r="T8">
        <f t="shared" si="9"/>
        <v>0</v>
      </c>
      <c r="U8">
        <f t="shared" si="10"/>
        <v>0</v>
      </c>
      <c r="V8">
        <f t="shared" si="11"/>
        <v>0</v>
      </c>
      <c r="W8">
        <f t="shared" si="12"/>
        <v>1</v>
      </c>
      <c r="X8">
        <f t="shared" si="13"/>
        <v>1</v>
      </c>
      <c r="Y8">
        <f t="shared" si="14"/>
        <v>1</v>
      </c>
      <c r="Z8">
        <f t="shared" si="15"/>
        <v>1</v>
      </c>
      <c r="AA8">
        <f t="shared" si="16"/>
        <v>1</v>
      </c>
      <c r="AB8">
        <f t="shared" si="17"/>
        <v>1</v>
      </c>
      <c r="AC8">
        <f t="shared" si="18"/>
        <v>0</v>
      </c>
    </row>
    <row r="9" spans="1:29">
      <c r="A9" s="17" t="s">
        <v>35</v>
      </c>
      <c r="B9" s="17" t="s">
        <v>32</v>
      </c>
      <c r="C9" s="17" t="s">
        <v>31</v>
      </c>
      <c r="D9" s="17">
        <v>744</v>
      </c>
      <c r="E9" s="17">
        <v>186</v>
      </c>
      <c r="F9" s="17">
        <v>28</v>
      </c>
      <c r="G9" s="17">
        <v>9191</v>
      </c>
      <c r="H9" s="17">
        <v>719</v>
      </c>
      <c r="I9" s="17">
        <v>34</v>
      </c>
      <c r="J9" s="17">
        <v>0.689529963217343</v>
      </c>
      <c r="K9">
        <f t="shared" si="0"/>
        <v>0.924488567990373</v>
      </c>
      <c r="L9">
        <f t="shared" si="1"/>
        <v>0.0374832663989291</v>
      </c>
      <c r="M9" s="18">
        <f t="shared" si="2"/>
        <v>0.451612903225806</v>
      </c>
      <c r="N9">
        <f t="shared" si="3"/>
        <v>0.996314363143631</v>
      </c>
      <c r="O9">
        <f t="shared" si="4"/>
        <v>0.996314363143631</v>
      </c>
      <c r="P9">
        <f t="shared" si="5"/>
        <v>0.548387096774194</v>
      </c>
      <c r="Q9">
        <f t="shared" si="6"/>
        <v>0.0725529767911201</v>
      </c>
      <c r="R9">
        <f t="shared" si="7"/>
        <v>0.962516733601071</v>
      </c>
      <c r="S9">
        <f t="shared" si="8"/>
        <v>0.00368563685636856</v>
      </c>
      <c r="T9">
        <f t="shared" si="9"/>
        <v>6.22459509174929</v>
      </c>
      <c r="U9">
        <f t="shared" si="10"/>
        <v>0.550415729272325</v>
      </c>
      <c r="V9">
        <f t="shared" si="11"/>
        <v>0.286130086313328</v>
      </c>
      <c r="W9">
        <f t="shared" si="12"/>
        <v>0.0358514724711908</v>
      </c>
      <c r="X9">
        <f t="shared" si="13"/>
        <v>0.069221260815822</v>
      </c>
      <c r="Y9">
        <f t="shared" si="14"/>
        <v>0.113187132519866</v>
      </c>
      <c r="Z9">
        <f t="shared" si="15"/>
        <v>0.130107366281878</v>
      </c>
      <c r="AA9">
        <f t="shared" si="16"/>
        <v>0.447927266369438</v>
      </c>
      <c r="AB9">
        <f t="shared" si="17"/>
        <v>0.0337976295425604</v>
      </c>
      <c r="AC9">
        <f t="shared" si="18"/>
        <v>11.3088975490917</v>
      </c>
    </row>
    <row r="10" spans="1:29">
      <c r="A10" s="17" t="s">
        <v>36</v>
      </c>
      <c r="B10" s="17" t="s">
        <v>30</v>
      </c>
      <c r="C10" s="17" t="s">
        <v>31</v>
      </c>
      <c r="D10" s="17">
        <v>744</v>
      </c>
      <c r="E10" s="17">
        <v>186</v>
      </c>
      <c r="F10" s="17">
        <v>112</v>
      </c>
      <c r="G10" s="17">
        <v>525</v>
      </c>
      <c r="H10" s="17">
        <v>33</v>
      </c>
      <c r="I10" s="17">
        <v>74</v>
      </c>
      <c r="J10" s="17">
        <v>0.771505376344086</v>
      </c>
      <c r="K10">
        <f t="shared" si="0"/>
        <v>0.856182795698925</v>
      </c>
      <c r="L10">
        <f t="shared" si="1"/>
        <v>0.772413793103448</v>
      </c>
      <c r="M10" s="18">
        <f t="shared" si="2"/>
        <v>0.602150537634409</v>
      </c>
      <c r="N10">
        <f t="shared" si="3"/>
        <v>0.876460767946578</v>
      </c>
      <c r="O10">
        <f t="shared" si="4"/>
        <v>0.876460767946578</v>
      </c>
      <c r="P10">
        <f t="shared" si="5"/>
        <v>0.397849462365591</v>
      </c>
      <c r="Q10">
        <f t="shared" si="6"/>
        <v>0.0591397849462366</v>
      </c>
      <c r="R10">
        <f t="shared" si="7"/>
        <v>0.227586206896552</v>
      </c>
      <c r="S10">
        <f t="shared" si="8"/>
        <v>0.123539232053422</v>
      </c>
      <c r="T10">
        <f t="shared" si="9"/>
        <v>10.1818181818182</v>
      </c>
      <c r="U10">
        <f t="shared" si="10"/>
        <v>0.453927291346646</v>
      </c>
      <c r="V10">
        <f t="shared" si="11"/>
        <v>0.238612450985827</v>
      </c>
      <c r="W10">
        <f t="shared" si="12"/>
        <v>0.511415525114155</v>
      </c>
      <c r="X10">
        <f t="shared" si="13"/>
        <v>0.676737160120846</v>
      </c>
      <c r="Y10">
        <f t="shared" si="14"/>
        <v>0.59358728405853</v>
      </c>
      <c r="Z10">
        <f t="shared" si="15"/>
        <v>0.681989282022433</v>
      </c>
      <c r="AA10">
        <f t="shared" si="16"/>
        <v>0.478611305580986</v>
      </c>
      <c r="AB10">
        <f t="shared" si="17"/>
        <v>0.648874561050026</v>
      </c>
      <c r="AC10">
        <f t="shared" si="18"/>
        <v>22.4305045673994</v>
      </c>
    </row>
    <row r="11" spans="1:29">
      <c r="A11" s="17" t="s">
        <v>36</v>
      </c>
      <c r="B11" s="17" t="s">
        <v>32</v>
      </c>
      <c r="C11" s="17" t="s">
        <v>31</v>
      </c>
      <c r="D11" s="17">
        <v>744</v>
      </c>
      <c r="E11" s="17">
        <v>186</v>
      </c>
      <c r="F11" s="17">
        <v>29</v>
      </c>
      <c r="G11" s="17">
        <v>8874</v>
      </c>
      <c r="H11" s="17">
        <v>1036</v>
      </c>
      <c r="I11" s="17">
        <v>33</v>
      </c>
      <c r="J11" s="17">
        <v>0.681600533836789</v>
      </c>
      <c r="K11">
        <f t="shared" si="0"/>
        <v>0.892799839550742</v>
      </c>
      <c r="L11">
        <f t="shared" si="1"/>
        <v>0.0272300469483568</v>
      </c>
      <c r="M11" s="18">
        <f t="shared" si="2"/>
        <v>0.467741935483871</v>
      </c>
      <c r="N11">
        <f t="shared" si="3"/>
        <v>0.996295048837993</v>
      </c>
      <c r="O11">
        <f t="shared" si="4"/>
        <v>0.996295048837993</v>
      </c>
      <c r="P11">
        <f t="shared" si="5"/>
        <v>0.532258064516129</v>
      </c>
      <c r="Q11">
        <f t="shared" si="6"/>
        <v>0.104540867810293</v>
      </c>
      <c r="R11">
        <f t="shared" si="7"/>
        <v>0.972769953051643</v>
      </c>
      <c r="S11">
        <f t="shared" si="8"/>
        <v>0.00370495116200741</v>
      </c>
      <c r="T11">
        <f t="shared" si="9"/>
        <v>4.47424959521734</v>
      </c>
      <c r="U11">
        <f t="shared" si="10"/>
        <v>0.534237387947393</v>
      </c>
      <c r="V11">
        <f t="shared" si="11"/>
        <v>0.321002327742422</v>
      </c>
      <c r="W11">
        <f t="shared" si="12"/>
        <v>0.0264116575591985</v>
      </c>
      <c r="X11">
        <f t="shared" si="13"/>
        <v>0.0514640638864241</v>
      </c>
      <c r="Y11">
        <f t="shared" si="14"/>
        <v>0.0924355986983657</v>
      </c>
      <c r="Z11">
        <f t="shared" si="15"/>
        <v>0.112856700567317</v>
      </c>
      <c r="AA11">
        <f t="shared" si="16"/>
        <v>0.464036984321863</v>
      </c>
      <c r="AB11">
        <f t="shared" si="17"/>
        <v>0.0235250957863493</v>
      </c>
      <c r="AC11">
        <f t="shared" si="18"/>
        <v>8.37502147202383</v>
      </c>
    </row>
    <row r="12" spans="1:29">
      <c r="A12" s="17" t="s">
        <v>37</v>
      </c>
      <c r="B12" s="17" t="s">
        <v>30</v>
      </c>
      <c r="C12" s="17" t="s">
        <v>31</v>
      </c>
      <c r="D12" s="17">
        <v>744</v>
      </c>
      <c r="E12" s="17">
        <v>186</v>
      </c>
      <c r="F12" s="17">
        <v>87</v>
      </c>
      <c r="G12" s="17">
        <v>500</v>
      </c>
      <c r="H12" s="17">
        <v>58</v>
      </c>
      <c r="I12" s="17">
        <v>99</v>
      </c>
      <c r="J12" s="17">
        <v>0.681899641577061</v>
      </c>
      <c r="K12">
        <f t="shared" si="0"/>
        <v>0.788978494623656</v>
      </c>
      <c r="L12">
        <f t="shared" si="1"/>
        <v>0.6</v>
      </c>
      <c r="M12" s="18">
        <f t="shared" si="2"/>
        <v>0.467741935483871</v>
      </c>
      <c r="N12">
        <f t="shared" si="3"/>
        <v>0.834724540901502</v>
      </c>
      <c r="O12">
        <f t="shared" si="4"/>
        <v>0.834724540901502</v>
      </c>
      <c r="P12">
        <f t="shared" si="5"/>
        <v>0.532258064516129</v>
      </c>
      <c r="Q12">
        <f t="shared" si="6"/>
        <v>0.103942652329749</v>
      </c>
      <c r="R12">
        <f t="shared" si="7"/>
        <v>0.4</v>
      </c>
      <c r="S12">
        <f t="shared" si="8"/>
        <v>0.165275459098498</v>
      </c>
      <c r="T12">
        <f t="shared" si="9"/>
        <v>4.5</v>
      </c>
      <c r="U12">
        <f t="shared" si="10"/>
        <v>0.637645161290323</v>
      </c>
      <c r="V12">
        <f t="shared" si="11"/>
        <v>0.320377241017041</v>
      </c>
      <c r="W12">
        <f t="shared" si="12"/>
        <v>0.35655737704918</v>
      </c>
      <c r="X12">
        <f t="shared" si="13"/>
        <v>0.525679758308157</v>
      </c>
      <c r="Y12">
        <f t="shared" si="14"/>
        <v>0.397683889979807</v>
      </c>
      <c r="Z12">
        <f t="shared" si="15"/>
        <v>0.529759531570997</v>
      </c>
      <c r="AA12">
        <f t="shared" si="16"/>
        <v>0.302466476385373</v>
      </c>
      <c r="AB12">
        <f t="shared" si="17"/>
        <v>0.434724540901502</v>
      </c>
      <c r="AC12">
        <f t="shared" si="18"/>
        <v>7.05721657307634</v>
      </c>
    </row>
    <row r="13" spans="1:29">
      <c r="A13" s="17" t="s">
        <v>37</v>
      </c>
      <c r="B13" s="17" t="s">
        <v>32</v>
      </c>
      <c r="C13" s="17" t="s">
        <v>31</v>
      </c>
      <c r="D13" s="17">
        <v>744</v>
      </c>
      <c r="E13" s="17">
        <v>186</v>
      </c>
      <c r="F13" s="17">
        <v>31</v>
      </c>
      <c r="G13" s="17">
        <v>8806</v>
      </c>
      <c r="H13" s="17">
        <v>1104</v>
      </c>
      <c r="I13" s="17">
        <v>31</v>
      </c>
      <c r="J13" s="17">
        <v>0.694298688193743</v>
      </c>
      <c r="K13">
        <f t="shared" si="0"/>
        <v>0.886181307661452</v>
      </c>
      <c r="L13">
        <f t="shared" si="1"/>
        <v>0.0273127753303965</v>
      </c>
      <c r="M13" s="18">
        <f t="shared" si="2"/>
        <v>0.5</v>
      </c>
      <c r="N13">
        <f t="shared" si="3"/>
        <v>0.996492022179473</v>
      </c>
      <c r="O13">
        <f t="shared" si="4"/>
        <v>0.996492022179473</v>
      </c>
      <c r="P13">
        <f t="shared" si="5"/>
        <v>0.5</v>
      </c>
      <c r="Q13">
        <f t="shared" si="6"/>
        <v>0.111402623612513</v>
      </c>
      <c r="R13">
        <f t="shared" si="7"/>
        <v>0.972687224669604</v>
      </c>
      <c r="S13">
        <f t="shared" si="8"/>
        <v>0.00350797782052733</v>
      </c>
      <c r="T13">
        <f t="shared" si="9"/>
        <v>4.48822463768116</v>
      </c>
      <c r="U13">
        <f t="shared" si="10"/>
        <v>0.501760163524869</v>
      </c>
      <c r="V13">
        <f t="shared" si="11"/>
        <v>0.320662561091865</v>
      </c>
      <c r="W13">
        <f t="shared" si="12"/>
        <v>0.0265866209262436</v>
      </c>
      <c r="X13">
        <f t="shared" si="13"/>
        <v>0.051796157059315</v>
      </c>
      <c r="Y13">
        <f t="shared" si="14"/>
        <v>0.0961794253349985</v>
      </c>
      <c r="Z13">
        <f t="shared" si="15"/>
        <v>0.116860547941545</v>
      </c>
      <c r="AA13">
        <f t="shared" si="16"/>
        <v>0.496492022179473</v>
      </c>
      <c r="AB13">
        <f t="shared" si="17"/>
        <v>0.0238047975098692</v>
      </c>
      <c r="AC13">
        <f t="shared" si="18"/>
        <v>8.94496009039726</v>
      </c>
    </row>
    <row r="14" spans="1:29">
      <c r="A14" s="17" t="s">
        <v>38</v>
      </c>
      <c r="B14" s="17" t="s">
        <v>30</v>
      </c>
      <c r="C14" s="17" t="s">
        <v>31</v>
      </c>
      <c r="D14" s="17">
        <v>744</v>
      </c>
      <c r="E14" s="17">
        <v>186</v>
      </c>
      <c r="F14" s="17">
        <v>79</v>
      </c>
      <c r="G14" s="17">
        <v>539</v>
      </c>
      <c r="H14" s="17">
        <v>19</v>
      </c>
      <c r="I14" s="17">
        <v>107</v>
      </c>
      <c r="J14" s="17">
        <v>0.695340501792114</v>
      </c>
      <c r="K14">
        <f t="shared" si="0"/>
        <v>0.830645161290323</v>
      </c>
      <c r="L14">
        <f t="shared" si="1"/>
        <v>0.806122448979592</v>
      </c>
      <c r="M14" s="18">
        <f t="shared" si="2"/>
        <v>0.424731182795699</v>
      </c>
      <c r="N14">
        <f t="shared" si="3"/>
        <v>0.834365325077399</v>
      </c>
      <c r="O14">
        <f t="shared" si="4"/>
        <v>0.834365325077399</v>
      </c>
      <c r="P14">
        <f t="shared" si="5"/>
        <v>0.575268817204301</v>
      </c>
      <c r="Q14">
        <f t="shared" si="6"/>
        <v>0.0340501792114695</v>
      </c>
      <c r="R14">
        <f t="shared" si="7"/>
        <v>0.193877551020408</v>
      </c>
      <c r="S14">
        <f t="shared" si="8"/>
        <v>0.165634674922601</v>
      </c>
      <c r="T14">
        <f t="shared" si="9"/>
        <v>12.4736842105263</v>
      </c>
      <c r="U14">
        <f t="shared" si="10"/>
        <v>0.689468749376584</v>
      </c>
      <c r="V14">
        <f t="shared" si="11"/>
        <v>0.220662368253351</v>
      </c>
      <c r="W14">
        <f t="shared" si="12"/>
        <v>0.385365853658537</v>
      </c>
      <c r="X14">
        <f t="shared" si="13"/>
        <v>0.556338028169014</v>
      </c>
      <c r="Y14">
        <f t="shared" si="14"/>
        <v>0.500226355115376</v>
      </c>
      <c r="Z14">
        <f t="shared" si="15"/>
        <v>0.58513702774074</v>
      </c>
      <c r="AA14">
        <f t="shared" si="16"/>
        <v>0.259096507873098</v>
      </c>
      <c r="AB14">
        <f t="shared" si="17"/>
        <v>0.640487774056991</v>
      </c>
      <c r="AC14">
        <f t="shared" si="18"/>
        <v>18.0917325430703</v>
      </c>
    </row>
    <row r="15" spans="1:29">
      <c r="A15" s="17" t="s">
        <v>38</v>
      </c>
      <c r="B15" s="17" t="s">
        <v>32</v>
      </c>
      <c r="C15" s="17" t="s">
        <v>31</v>
      </c>
      <c r="D15" s="17">
        <v>744</v>
      </c>
      <c r="E15" s="17">
        <v>186</v>
      </c>
      <c r="F15" s="17">
        <v>23</v>
      </c>
      <c r="G15" s="17">
        <v>9406</v>
      </c>
      <c r="H15" s="17">
        <v>504</v>
      </c>
      <c r="I15" s="17">
        <v>39</v>
      </c>
      <c r="J15" s="17">
        <v>0.660055011230103</v>
      </c>
      <c r="K15">
        <f t="shared" si="0"/>
        <v>0.945547533092659</v>
      </c>
      <c r="L15">
        <f t="shared" si="1"/>
        <v>0.0436432637571157</v>
      </c>
      <c r="M15" s="18">
        <f t="shared" si="2"/>
        <v>0.370967741935484</v>
      </c>
      <c r="N15">
        <f t="shared" si="3"/>
        <v>0.995870831127581</v>
      </c>
      <c r="O15">
        <f t="shared" si="4"/>
        <v>0.995870831127581</v>
      </c>
      <c r="P15">
        <f t="shared" si="5"/>
        <v>0.629032258064516</v>
      </c>
      <c r="Q15">
        <f t="shared" si="6"/>
        <v>0.0508577194752775</v>
      </c>
      <c r="R15">
        <f t="shared" si="7"/>
        <v>0.956356736242884</v>
      </c>
      <c r="S15">
        <f t="shared" si="8"/>
        <v>0.00412916887241927</v>
      </c>
      <c r="T15">
        <f t="shared" si="9"/>
        <v>7.29422683051715</v>
      </c>
      <c r="U15">
        <f t="shared" si="10"/>
        <v>0.631640407975692</v>
      </c>
      <c r="V15">
        <f t="shared" si="11"/>
        <v>0.27021311413776</v>
      </c>
      <c r="W15">
        <f t="shared" si="12"/>
        <v>0.0406360424028269</v>
      </c>
      <c r="X15">
        <f t="shared" si="13"/>
        <v>0.0780984719864177</v>
      </c>
      <c r="Y15">
        <f t="shared" si="14"/>
        <v>0.112467140983644</v>
      </c>
      <c r="Z15">
        <f t="shared" si="15"/>
        <v>0.127240885750894</v>
      </c>
      <c r="AA15">
        <f t="shared" si="16"/>
        <v>0.366838573063065</v>
      </c>
      <c r="AB15">
        <f t="shared" si="17"/>
        <v>0.0395140948846964</v>
      </c>
      <c r="AC15">
        <f t="shared" si="18"/>
        <v>11.5480687087357</v>
      </c>
    </row>
    <row r="16" spans="1:29">
      <c r="A16" s="17" t="s">
        <v>39</v>
      </c>
      <c r="B16" s="17" t="s">
        <v>30</v>
      </c>
      <c r="C16" s="17" t="s">
        <v>31</v>
      </c>
      <c r="D16" s="17">
        <v>744</v>
      </c>
      <c r="E16" s="17">
        <v>186</v>
      </c>
      <c r="F16" s="17">
        <v>157</v>
      </c>
      <c r="G16" s="17">
        <v>532</v>
      </c>
      <c r="H16" s="17">
        <v>26</v>
      </c>
      <c r="I16" s="17">
        <v>29</v>
      </c>
      <c r="J16" s="17">
        <v>0.898745519713261</v>
      </c>
      <c r="K16">
        <f t="shared" si="0"/>
        <v>0.926075268817204</v>
      </c>
      <c r="L16">
        <f t="shared" si="1"/>
        <v>0.85792349726776</v>
      </c>
      <c r="M16" s="18">
        <f t="shared" si="2"/>
        <v>0.844086021505376</v>
      </c>
      <c r="N16">
        <f t="shared" si="3"/>
        <v>0.948306595365419</v>
      </c>
      <c r="O16">
        <f t="shared" si="4"/>
        <v>0.948306595365419</v>
      </c>
      <c r="P16">
        <f t="shared" si="5"/>
        <v>0.155913978494624</v>
      </c>
      <c r="Q16">
        <f t="shared" si="6"/>
        <v>0.046594982078853</v>
      </c>
      <c r="R16">
        <f t="shared" si="7"/>
        <v>0.14207650273224</v>
      </c>
      <c r="S16">
        <f t="shared" si="8"/>
        <v>0.0516934046345811</v>
      </c>
      <c r="T16">
        <f t="shared" si="9"/>
        <v>18.1153846153846</v>
      </c>
      <c r="U16">
        <f t="shared" si="10"/>
        <v>0.16441304875091</v>
      </c>
      <c r="V16">
        <f t="shared" si="11"/>
        <v>0.190250890949392</v>
      </c>
      <c r="W16">
        <f t="shared" si="12"/>
        <v>0.740566037735849</v>
      </c>
      <c r="X16">
        <f t="shared" si="13"/>
        <v>0.850948509485095</v>
      </c>
      <c r="Y16">
        <f t="shared" si="14"/>
        <v>0.801848660652979</v>
      </c>
      <c r="Z16">
        <f t="shared" si="15"/>
        <v>0.850976633971064</v>
      </c>
      <c r="AA16">
        <f t="shared" si="16"/>
        <v>0.792392616870795</v>
      </c>
      <c r="AB16">
        <f t="shared" si="17"/>
        <v>0.806230092633178</v>
      </c>
      <c r="AC16">
        <f t="shared" si="18"/>
        <v>110.182158612179</v>
      </c>
    </row>
    <row r="17" spans="1:29">
      <c r="A17" s="17" t="s">
        <v>39</v>
      </c>
      <c r="B17" s="17" t="s">
        <v>32</v>
      </c>
      <c r="C17" s="17" t="s">
        <v>31</v>
      </c>
      <c r="D17" s="17">
        <v>744</v>
      </c>
      <c r="E17" s="17">
        <v>186</v>
      </c>
      <c r="F17" s="17">
        <v>38</v>
      </c>
      <c r="G17" s="17">
        <v>8392</v>
      </c>
      <c r="H17" s="17">
        <v>1518</v>
      </c>
      <c r="I17" s="17">
        <v>24</v>
      </c>
      <c r="J17" s="17">
        <v>0.729862309169623</v>
      </c>
      <c r="K17">
        <f t="shared" si="0"/>
        <v>0.845367027677497</v>
      </c>
      <c r="L17">
        <f t="shared" si="1"/>
        <v>0.0244215938303342</v>
      </c>
      <c r="M17" s="18">
        <f t="shared" si="2"/>
        <v>0.612903225806452</v>
      </c>
      <c r="N17">
        <f t="shared" si="3"/>
        <v>0.997148288973384</v>
      </c>
      <c r="O17">
        <f t="shared" si="4"/>
        <v>0.997148288973384</v>
      </c>
      <c r="P17">
        <f t="shared" si="5"/>
        <v>0.387096774193548</v>
      </c>
      <c r="Q17">
        <f t="shared" si="6"/>
        <v>0.153178607467205</v>
      </c>
      <c r="R17">
        <f t="shared" si="7"/>
        <v>0.975578406169666</v>
      </c>
      <c r="S17">
        <f t="shared" si="8"/>
        <v>0.00285171102661597</v>
      </c>
      <c r="T17">
        <f t="shared" si="9"/>
        <v>4.00123252156913</v>
      </c>
      <c r="U17">
        <f t="shared" si="10"/>
        <v>0.388203819305637</v>
      </c>
      <c r="V17">
        <f t="shared" si="11"/>
        <v>0.333299102775571</v>
      </c>
      <c r="W17">
        <f t="shared" si="12"/>
        <v>0.0240506329113924</v>
      </c>
      <c r="X17">
        <f t="shared" si="13"/>
        <v>0.0469715698393078</v>
      </c>
      <c r="Y17">
        <f t="shared" si="14"/>
        <v>0.0995801493248611</v>
      </c>
      <c r="Z17">
        <f t="shared" si="15"/>
        <v>0.122344078883887</v>
      </c>
      <c r="AA17">
        <f t="shared" si="16"/>
        <v>0.610051514779836</v>
      </c>
      <c r="AB17">
        <f t="shared" si="17"/>
        <v>0.0215698828037183</v>
      </c>
      <c r="AC17">
        <f t="shared" si="18"/>
        <v>10.3070405868906</v>
      </c>
    </row>
    <row r="18" spans="1:29">
      <c r="A18" s="17" t="s">
        <v>29</v>
      </c>
      <c r="B18" s="17" t="s">
        <v>30</v>
      </c>
      <c r="C18" s="17" t="s">
        <v>31</v>
      </c>
      <c r="D18" s="17">
        <v>744</v>
      </c>
      <c r="E18" s="17">
        <v>186</v>
      </c>
      <c r="F18" s="17">
        <v>67</v>
      </c>
      <c r="G18" s="17">
        <v>520</v>
      </c>
      <c r="H18" s="17">
        <v>38</v>
      </c>
      <c r="I18" s="17">
        <v>119</v>
      </c>
      <c r="J18" s="17">
        <v>0.646057347670251</v>
      </c>
      <c r="K18">
        <f t="shared" si="0"/>
        <v>0.788978494623656</v>
      </c>
      <c r="L18">
        <f t="shared" si="1"/>
        <v>0.638095238095238</v>
      </c>
      <c r="M18" s="18">
        <f t="shared" si="2"/>
        <v>0.360215053763441</v>
      </c>
      <c r="N18">
        <f t="shared" si="3"/>
        <v>0.81377151799687</v>
      </c>
      <c r="O18">
        <f t="shared" si="4"/>
        <v>0.81377151799687</v>
      </c>
      <c r="P18">
        <f t="shared" si="5"/>
        <v>0.639784946236559</v>
      </c>
      <c r="Q18">
        <f t="shared" si="6"/>
        <v>0.0681003584229391</v>
      </c>
      <c r="R18">
        <f t="shared" si="7"/>
        <v>0.361904761904762</v>
      </c>
      <c r="S18">
        <f t="shared" si="8"/>
        <v>0.18622848200313</v>
      </c>
      <c r="T18">
        <f t="shared" si="9"/>
        <v>5.28947368421053</v>
      </c>
      <c r="U18">
        <f t="shared" si="10"/>
        <v>0.786197270471464</v>
      </c>
      <c r="V18">
        <f t="shared" si="11"/>
        <v>0.303040810219408</v>
      </c>
      <c r="W18">
        <f t="shared" si="12"/>
        <v>0.299107142857143</v>
      </c>
      <c r="X18">
        <f t="shared" si="13"/>
        <v>0.460481099656357</v>
      </c>
      <c r="Y18">
        <f t="shared" si="14"/>
        <v>0.363313803467948</v>
      </c>
      <c r="Z18">
        <f t="shared" si="15"/>
        <v>0.479428316327553</v>
      </c>
      <c r="AA18">
        <f t="shared" si="16"/>
        <v>0.173986571760311</v>
      </c>
      <c r="AB18">
        <f t="shared" si="17"/>
        <v>0.451866756092108</v>
      </c>
      <c r="AC18">
        <f t="shared" si="18"/>
        <v>6.72792170982552</v>
      </c>
    </row>
    <row r="19" spans="1:29">
      <c r="A19" s="17" t="s">
        <v>29</v>
      </c>
      <c r="B19" s="17" t="s">
        <v>32</v>
      </c>
      <c r="C19" s="17" t="s">
        <v>31</v>
      </c>
      <c r="D19" s="17">
        <v>744</v>
      </c>
      <c r="E19" s="17">
        <v>186</v>
      </c>
      <c r="F19" s="17">
        <v>28</v>
      </c>
      <c r="G19" s="17">
        <v>9363</v>
      </c>
      <c r="H19" s="17">
        <v>547</v>
      </c>
      <c r="I19" s="17">
        <v>34</v>
      </c>
      <c r="J19" s="17">
        <v>0.69820806614368</v>
      </c>
      <c r="K19">
        <f t="shared" si="0"/>
        <v>0.941736863217008</v>
      </c>
      <c r="L19">
        <f t="shared" si="1"/>
        <v>0.048695652173913</v>
      </c>
      <c r="M19" s="18">
        <f t="shared" si="2"/>
        <v>0.451612903225806</v>
      </c>
      <c r="N19">
        <f t="shared" si="3"/>
        <v>0.996381823986379</v>
      </c>
      <c r="O19">
        <f t="shared" si="4"/>
        <v>0.996381823986379</v>
      </c>
      <c r="P19">
        <f t="shared" si="5"/>
        <v>0.548387096774194</v>
      </c>
      <c r="Q19">
        <f t="shared" si="6"/>
        <v>0.055196770938446</v>
      </c>
      <c r="R19">
        <f t="shared" si="7"/>
        <v>0.951304347826087</v>
      </c>
      <c r="S19">
        <f t="shared" si="8"/>
        <v>0.00361817601362137</v>
      </c>
      <c r="T19">
        <f t="shared" si="9"/>
        <v>8.18187179335967</v>
      </c>
      <c r="U19">
        <f t="shared" si="10"/>
        <v>0.55037846292717</v>
      </c>
      <c r="V19">
        <f t="shared" si="11"/>
        <v>0.259040705908737</v>
      </c>
      <c r="W19">
        <f t="shared" si="12"/>
        <v>0.0459770114942529</v>
      </c>
      <c r="X19">
        <f t="shared" si="13"/>
        <v>0.0879120879120879</v>
      </c>
      <c r="Y19">
        <f t="shared" si="14"/>
        <v>0.133676620067754</v>
      </c>
      <c r="Z19">
        <f t="shared" si="15"/>
        <v>0.148295599573065</v>
      </c>
      <c r="AA19">
        <f t="shared" si="16"/>
        <v>0.447994727212185</v>
      </c>
      <c r="AB19">
        <f t="shared" si="17"/>
        <v>0.0450774761602917</v>
      </c>
      <c r="AC19">
        <f t="shared" si="18"/>
        <v>14.8659010925766</v>
      </c>
    </row>
    <row r="20" spans="1:29">
      <c r="A20" s="17" t="s">
        <v>33</v>
      </c>
      <c r="B20" s="17" t="s">
        <v>30</v>
      </c>
      <c r="C20" s="17" t="s">
        <v>31</v>
      </c>
      <c r="D20" s="17">
        <v>744</v>
      </c>
      <c r="E20" s="17">
        <v>186</v>
      </c>
      <c r="F20" s="17">
        <v>57</v>
      </c>
      <c r="G20" s="17">
        <v>527</v>
      </c>
      <c r="H20" s="17">
        <v>31</v>
      </c>
      <c r="I20" s="17">
        <v>129</v>
      </c>
      <c r="J20" s="17">
        <v>0.625448028673835</v>
      </c>
      <c r="K20">
        <f t="shared" si="0"/>
        <v>0.78494623655914</v>
      </c>
      <c r="L20">
        <f t="shared" si="1"/>
        <v>0.647727272727273</v>
      </c>
      <c r="M20" s="18">
        <f t="shared" si="2"/>
        <v>0.306451612903226</v>
      </c>
      <c r="N20">
        <f t="shared" si="3"/>
        <v>0.803353658536585</v>
      </c>
      <c r="O20">
        <f t="shared" si="4"/>
        <v>0.803353658536585</v>
      </c>
      <c r="P20">
        <f t="shared" si="5"/>
        <v>0.693548387096774</v>
      </c>
      <c r="Q20">
        <f t="shared" si="6"/>
        <v>0.0555555555555556</v>
      </c>
      <c r="R20">
        <f t="shared" si="7"/>
        <v>0.352272727272727</v>
      </c>
      <c r="S20">
        <f t="shared" si="8"/>
        <v>0.196646341463415</v>
      </c>
      <c r="T20">
        <f t="shared" si="9"/>
        <v>5.51612903225806</v>
      </c>
      <c r="U20">
        <f t="shared" si="10"/>
        <v>0.863316398359552</v>
      </c>
      <c r="V20">
        <f t="shared" si="11"/>
        <v>0.298628332836211</v>
      </c>
      <c r="W20">
        <f t="shared" si="12"/>
        <v>0.262672811059908</v>
      </c>
      <c r="X20">
        <f t="shared" si="13"/>
        <v>0.416058394160584</v>
      </c>
      <c r="Y20">
        <f t="shared" si="14"/>
        <v>0.336414071047597</v>
      </c>
      <c r="Z20">
        <f t="shared" si="15"/>
        <v>0.445530097130015</v>
      </c>
      <c r="AA20">
        <f t="shared" si="16"/>
        <v>0.109805271439811</v>
      </c>
      <c r="AB20">
        <f t="shared" si="17"/>
        <v>0.451080931263858</v>
      </c>
      <c r="AC20">
        <f t="shared" si="18"/>
        <v>6.38946398184912</v>
      </c>
    </row>
    <row r="21" spans="1:29">
      <c r="A21" s="17" t="s">
        <v>33</v>
      </c>
      <c r="B21" s="17" t="s">
        <v>32</v>
      </c>
      <c r="C21" s="17" t="s">
        <v>31</v>
      </c>
      <c r="D21" s="17">
        <v>744</v>
      </c>
      <c r="E21" s="17">
        <v>186</v>
      </c>
      <c r="F21" s="17">
        <v>22</v>
      </c>
      <c r="G21" s="17">
        <v>9469</v>
      </c>
      <c r="H21" s="17">
        <v>441</v>
      </c>
      <c r="I21" s="17">
        <v>40</v>
      </c>
      <c r="J21" s="17">
        <v>0.655169102568275</v>
      </c>
      <c r="K21">
        <f t="shared" si="0"/>
        <v>0.951764941837144</v>
      </c>
      <c r="L21">
        <f t="shared" si="1"/>
        <v>0.0475161987041037</v>
      </c>
      <c r="M21" s="18">
        <f t="shared" si="2"/>
        <v>0.354838709677419</v>
      </c>
      <c r="N21">
        <f t="shared" si="3"/>
        <v>0.995793458828478</v>
      </c>
      <c r="O21">
        <f t="shared" si="4"/>
        <v>0.995793458828478</v>
      </c>
      <c r="P21">
        <f t="shared" si="5"/>
        <v>0.645161290322581</v>
      </c>
      <c r="Q21">
        <f t="shared" si="6"/>
        <v>0.0445005045408678</v>
      </c>
      <c r="R21">
        <f t="shared" si="7"/>
        <v>0.952483801295896</v>
      </c>
      <c r="S21">
        <f t="shared" si="8"/>
        <v>0.00420654117152172</v>
      </c>
      <c r="T21">
        <f t="shared" si="9"/>
        <v>7.97381318118645</v>
      </c>
      <c r="U21">
        <f t="shared" si="10"/>
        <v>0.647886652199537</v>
      </c>
      <c r="V21">
        <f t="shared" si="11"/>
        <v>0.261520356739235</v>
      </c>
      <c r="W21">
        <f t="shared" si="12"/>
        <v>0.0437375745526839</v>
      </c>
      <c r="X21">
        <f t="shared" si="13"/>
        <v>0.0838095238095238</v>
      </c>
      <c r="Y21">
        <f t="shared" si="14"/>
        <v>0.115933780166698</v>
      </c>
      <c r="Z21">
        <f t="shared" si="15"/>
        <v>0.129848321656231</v>
      </c>
      <c r="AA21">
        <f t="shared" si="16"/>
        <v>0.350632168505898</v>
      </c>
      <c r="AB21">
        <f t="shared" si="17"/>
        <v>0.043309657532582</v>
      </c>
      <c r="AC21">
        <f t="shared" si="18"/>
        <v>12.3074200620059</v>
      </c>
    </row>
    <row r="22" spans="1:29">
      <c r="A22" s="17" t="s">
        <v>34</v>
      </c>
      <c r="B22" s="17" t="s">
        <v>30</v>
      </c>
      <c r="C22" s="17" t="s">
        <v>31</v>
      </c>
      <c r="D22" s="17">
        <v>744</v>
      </c>
      <c r="E22" s="17">
        <v>186</v>
      </c>
      <c r="F22" s="17">
        <v>186</v>
      </c>
      <c r="G22" s="17">
        <v>558</v>
      </c>
      <c r="H22" s="17">
        <v>0</v>
      </c>
      <c r="I22" s="17">
        <v>0</v>
      </c>
      <c r="J22" s="17">
        <v>1</v>
      </c>
      <c r="K22">
        <f t="shared" si="0"/>
        <v>1</v>
      </c>
      <c r="L22">
        <f t="shared" si="1"/>
        <v>1</v>
      </c>
      <c r="M22" s="18">
        <f t="shared" si="2"/>
        <v>1</v>
      </c>
      <c r="N22">
        <f t="shared" si="3"/>
        <v>1</v>
      </c>
      <c r="O22">
        <f t="shared" si="4"/>
        <v>1</v>
      </c>
      <c r="P22">
        <f t="shared" si="5"/>
        <v>0</v>
      </c>
      <c r="Q22">
        <f t="shared" si="6"/>
        <v>0</v>
      </c>
      <c r="R22">
        <f t="shared" si="7"/>
        <v>0</v>
      </c>
      <c r="S22">
        <f t="shared" si="8"/>
        <v>0</v>
      </c>
      <c r="T22">
        <f t="shared" si="9"/>
        <v>0</v>
      </c>
      <c r="U22">
        <f t="shared" si="10"/>
        <v>0</v>
      </c>
      <c r="V22">
        <f t="shared" si="11"/>
        <v>0</v>
      </c>
      <c r="W22">
        <f t="shared" si="12"/>
        <v>1</v>
      </c>
      <c r="X22">
        <f t="shared" si="13"/>
        <v>1</v>
      </c>
      <c r="Y22">
        <f t="shared" si="14"/>
        <v>1</v>
      </c>
      <c r="Z22">
        <f t="shared" si="15"/>
        <v>1</v>
      </c>
      <c r="AA22">
        <f t="shared" si="16"/>
        <v>1</v>
      </c>
      <c r="AB22">
        <f t="shared" si="17"/>
        <v>1</v>
      </c>
      <c r="AC22">
        <f t="shared" si="18"/>
        <v>0</v>
      </c>
    </row>
    <row r="23" spans="1:29">
      <c r="A23" s="17" t="s">
        <v>34</v>
      </c>
      <c r="B23" s="17" t="s">
        <v>32</v>
      </c>
      <c r="C23" s="17" t="s">
        <v>31</v>
      </c>
      <c r="D23" s="17">
        <v>744</v>
      </c>
      <c r="E23" s="17">
        <v>186</v>
      </c>
      <c r="F23" s="17">
        <v>32</v>
      </c>
      <c r="G23" s="17">
        <v>7992</v>
      </c>
      <c r="H23" s="17">
        <v>1918</v>
      </c>
      <c r="I23" s="17">
        <v>30</v>
      </c>
      <c r="J23" s="17">
        <v>0.661293577683018</v>
      </c>
      <c r="K23">
        <f t="shared" si="0"/>
        <v>0.804653028479743</v>
      </c>
      <c r="L23">
        <f t="shared" si="1"/>
        <v>0.0164102564102564</v>
      </c>
      <c r="M23" s="18">
        <f t="shared" si="2"/>
        <v>0.516129032258065</v>
      </c>
      <c r="N23">
        <f t="shared" si="3"/>
        <v>0.996260284218399</v>
      </c>
      <c r="O23">
        <f t="shared" si="4"/>
        <v>0.996260284218399</v>
      </c>
      <c r="P23">
        <f t="shared" si="5"/>
        <v>0.483870967741935</v>
      </c>
      <c r="Q23">
        <f t="shared" si="6"/>
        <v>0.193541876892028</v>
      </c>
      <c r="R23">
        <f t="shared" si="7"/>
        <v>0.983589743589744</v>
      </c>
      <c r="S23">
        <f t="shared" si="8"/>
        <v>0.0037397157816006</v>
      </c>
      <c r="T23">
        <f t="shared" si="9"/>
        <v>2.66675636583807</v>
      </c>
      <c r="U23">
        <f t="shared" si="10"/>
        <v>0.485687300203429</v>
      </c>
      <c r="V23">
        <f t="shared" si="11"/>
        <v>0.379791935551565</v>
      </c>
      <c r="W23">
        <f t="shared" si="12"/>
        <v>0.0161616161616162</v>
      </c>
      <c r="X23">
        <f t="shared" si="13"/>
        <v>0.0318091451292246</v>
      </c>
      <c r="Y23">
        <f t="shared" si="14"/>
        <v>0.063932414770192</v>
      </c>
      <c r="Z23">
        <f t="shared" si="15"/>
        <v>0.0920315693668881</v>
      </c>
      <c r="AA23">
        <f t="shared" si="16"/>
        <v>0.512389316476464</v>
      </c>
      <c r="AB23">
        <f t="shared" si="17"/>
        <v>0.0126705406286558</v>
      </c>
      <c r="AC23">
        <f t="shared" si="18"/>
        <v>5.49068580694019</v>
      </c>
    </row>
    <row r="24" spans="1:29">
      <c r="A24" s="17" t="s">
        <v>35</v>
      </c>
      <c r="B24" s="17" t="s">
        <v>30</v>
      </c>
      <c r="C24" s="17" t="s">
        <v>31</v>
      </c>
      <c r="D24" s="17">
        <v>744</v>
      </c>
      <c r="E24" s="17">
        <v>186</v>
      </c>
      <c r="F24" s="17">
        <v>186</v>
      </c>
      <c r="G24" s="17">
        <v>558</v>
      </c>
      <c r="H24" s="17">
        <v>0</v>
      </c>
      <c r="I24" s="17">
        <v>0</v>
      </c>
      <c r="J24" s="17">
        <v>1</v>
      </c>
      <c r="K24">
        <f t="shared" si="0"/>
        <v>1</v>
      </c>
      <c r="L24">
        <f t="shared" si="1"/>
        <v>1</v>
      </c>
      <c r="M24" s="18">
        <f t="shared" si="2"/>
        <v>1</v>
      </c>
      <c r="N24">
        <f t="shared" si="3"/>
        <v>1</v>
      </c>
      <c r="O24">
        <f t="shared" si="4"/>
        <v>1</v>
      </c>
      <c r="P24">
        <f t="shared" si="5"/>
        <v>0</v>
      </c>
      <c r="Q24">
        <f t="shared" si="6"/>
        <v>0</v>
      </c>
      <c r="R24">
        <f t="shared" si="7"/>
        <v>0</v>
      </c>
      <c r="S24">
        <f t="shared" si="8"/>
        <v>0</v>
      </c>
      <c r="T24">
        <f t="shared" si="9"/>
        <v>0</v>
      </c>
      <c r="U24">
        <f t="shared" si="10"/>
        <v>0</v>
      </c>
      <c r="V24">
        <f t="shared" si="11"/>
        <v>0</v>
      </c>
      <c r="W24">
        <f t="shared" si="12"/>
        <v>1</v>
      </c>
      <c r="X24">
        <f t="shared" si="13"/>
        <v>1</v>
      </c>
      <c r="Y24">
        <f t="shared" si="14"/>
        <v>1</v>
      </c>
      <c r="Z24">
        <f t="shared" si="15"/>
        <v>1</v>
      </c>
      <c r="AA24">
        <f t="shared" si="16"/>
        <v>1</v>
      </c>
      <c r="AB24">
        <f t="shared" si="17"/>
        <v>1</v>
      </c>
      <c r="AC24">
        <f t="shared" si="18"/>
        <v>0</v>
      </c>
    </row>
    <row r="25" spans="1:29">
      <c r="A25" s="17" t="s">
        <v>35</v>
      </c>
      <c r="B25" s="17" t="s">
        <v>32</v>
      </c>
      <c r="C25" s="17" t="s">
        <v>31</v>
      </c>
      <c r="D25" s="17">
        <v>744</v>
      </c>
      <c r="E25" s="17">
        <v>186</v>
      </c>
      <c r="F25" s="17">
        <v>33</v>
      </c>
      <c r="G25" s="17">
        <v>9293</v>
      </c>
      <c r="H25" s="17">
        <v>617</v>
      </c>
      <c r="I25" s="17">
        <v>29</v>
      </c>
      <c r="J25" s="17">
        <v>0.734998860714169</v>
      </c>
      <c r="K25">
        <f t="shared" si="0"/>
        <v>0.935218612113919</v>
      </c>
      <c r="L25">
        <f t="shared" si="1"/>
        <v>0.0507692307692308</v>
      </c>
      <c r="M25" s="18">
        <f t="shared" si="2"/>
        <v>0.532258064516129</v>
      </c>
      <c r="N25">
        <f t="shared" si="3"/>
        <v>0.996889079596653</v>
      </c>
      <c r="O25">
        <f t="shared" si="4"/>
        <v>0.996889079596653</v>
      </c>
      <c r="P25">
        <f t="shared" si="5"/>
        <v>0.467741935483871</v>
      </c>
      <c r="Q25">
        <f t="shared" si="6"/>
        <v>0.0622603430877901</v>
      </c>
      <c r="R25">
        <f t="shared" si="7"/>
        <v>0.949230769230769</v>
      </c>
      <c r="S25">
        <f t="shared" si="8"/>
        <v>0.00311092040334692</v>
      </c>
      <c r="T25">
        <f t="shared" si="9"/>
        <v>8.54890991791708</v>
      </c>
      <c r="U25">
        <f t="shared" si="10"/>
        <v>0.469201584265646</v>
      </c>
      <c r="V25">
        <f t="shared" si="11"/>
        <v>0.254851616765444</v>
      </c>
      <c r="W25">
        <f t="shared" si="12"/>
        <v>0.04860088365243</v>
      </c>
      <c r="X25">
        <f t="shared" si="13"/>
        <v>0.0926966292134832</v>
      </c>
      <c r="Y25">
        <f t="shared" si="14"/>
        <v>0.149663947826756</v>
      </c>
      <c r="Z25">
        <f t="shared" si="15"/>
        <v>0.164384708857617</v>
      </c>
      <c r="AA25">
        <f t="shared" si="16"/>
        <v>0.529147144112782</v>
      </c>
      <c r="AB25">
        <f t="shared" si="17"/>
        <v>0.0476583103658839</v>
      </c>
      <c r="AC25">
        <f t="shared" si="18"/>
        <v>18.2201215950647</v>
      </c>
    </row>
    <row r="26" spans="1:29">
      <c r="A26" s="17" t="s">
        <v>36</v>
      </c>
      <c r="B26" s="17" t="s">
        <v>30</v>
      </c>
      <c r="C26" s="17" t="s">
        <v>31</v>
      </c>
      <c r="D26" s="17">
        <v>744</v>
      </c>
      <c r="E26" s="17">
        <v>186</v>
      </c>
      <c r="F26" s="17">
        <v>105</v>
      </c>
      <c r="G26" s="17">
        <v>520</v>
      </c>
      <c r="H26" s="17">
        <v>38</v>
      </c>
      <c r="I26" s="17">
        <v>81</v>
      </c>
      <c r="J26" s="17">
        <v>0.748207885304659</v>
      </c>
      <c r="K26">
        <f t="shared" si="0"/>
        <v>0.84005376344086</v>
      </c>
      <c r="L26">
        <f t="shared" si="1"/>
        <v>0.734265734265734</v>
      </c>
      <c r="M26" s="18">
        <f t="shared" si="2"/>
        <v>0.564516129032258</v>
      </c>
      <c r="N26">
        <f t="shared" si="3"/>
        <v>0.86522462562396</v>
      </c>
      <c r="O26">
        <f t="shared" si="4"/>
        <v>0.86522462562396</v>
      </c>
      <c r="P26">
        <f t="shared" si="5"/>
        <v>0.435483870967742</v>
      </c>
      <c r="Q26">
        <f t="shared" si="6"/>
        <v>0.0681003584229391</v>
      </c>
      <c r="R26">
        <f t="shared" si="7"/>
        <v>0.265734265734266</v>
      </c>
      <c r="S26">
        <f t="shared" si="8"/>
        <v>0.13477537437604</v>
      </c>
      <c r="T26">
        <f t="shared" si="9"/>
        <v>8.28947368421053</v>
      </c>
      <c r="U26">
        <f t="shared" si="10"/>
        <v>0.503318858560794</v>
      </c>
      <c r="V26">
        <f t="shared" si="11"/>
        <v>0.257788791237772</v>
      </c>
      <c r="W26">
        <f t="shared" si="12"/>
        <v>0.46875</v>
      </c>
      <c r="X26">
        <f t="shared" si="13"/>
        <v>0.638297872340426</v>
      </c>
      <c r="Y26">
        <f t="shared" si="14"/>
        <v>0.545524031530693</v>
      </c>
      <c r="Z26">
        <f t="shared" si="15"/>
        <v>0.643820510692787</v>
      </c>
      <c r="AA26">
        <f t="shared" si="16"/>
        <v>0.429740754656218</v>
      </c>
      <c r="AB26">
        <f t="shared" si="17"/>
        <v>0.599490359889694</v>
      </c>
      <c r="AC26">
        <f t="shared" si="18"/>
        <v>16.4696266456491</v>
      </c>
    </row>
    <row r="27" spans="1:29">
      <c r="A27" s="17" t="s">
        <v>36</v>
      </c>
      <c r="B27" s="17" t="s">
        <v>32</v>
      </c>
      <c r="C27" s="17" t="s">
        <v>31</v>
      </c>
      <c r="D27" s="17">
        <v>744</v>
      </c>
      <c r="E27" s="17">
        <v>186</v>
      </c>
      <c r="F27" s="17">
        <v>29</v>
      </c>
      <c r="G27" s="17">
        <v>8911</v>
      </c>
      <c r="H27" s="17">
        <v>999</v>
      </c>
      <c r="I27" s="17">
        <v>33</v>
      </c>
      <c r="J27" s="17">
        <v>0.683467335047687</v>
      </c>
      <c r="K27">
        <f t="shared" si="0"/>
        <v>0.896510228640193</v>
      </c>
      <c r="L27">
        <f t="shared" si="1"/>
        <v>0.0282101167315175</v>
      </c>
      <c r="M27" s="18">
        <f t="shared" si="2"/>
        <v>0.467741935483871</v>
      </c>
      <c r="N27">
        <f t="shared" si="3"/>
        <v>0.996310375670841</v>
      </c>
      <c r="O27">
        <f t="shared" si="4"/>
        <v>0.996310375670841</v>
      </c>
      <c r="P27">
        <f t="shared" si="5"/>
        <v>0.532258064516129</v>
      </c>
      <c r="Q27">
        <f t="shared" si="6"/>
        <v>0.100807265388496</v>
      </c>
      <c r="R27">
        <f t="shared" si="7"/>
        <v>0.971789883268482</v>
      </c>
      <c r="S27">
        <f t="shared" si="8"/>
        <v>0.00368962432915921</v>
      </c>
      <c r="T27">
        <f t="shared" si="9"/>
        <v>4.63996254318835</v>
      </c>
      <c r="U27">
        <f t="shared" si="10"/>
        <v>0.534229169457104</v>
      </c>
      <c r="V27">
        <f t="shared" si="11"/>
        <v>0.317051951688835</v>
      </c>
      <c r="W27">
        <f t="shared" si="12"/>
        <v>0.0273327049952875</v>
      </c>
      <c r="X27">
        <f t="shared" si="13"/>
        <v>0.0532110091743119</v>
      </c>
      <c r="Y27">
        <f t="shared" si="14"/>
        <v>0.0948547246595312</v>
      </c>
      <c r="Z27">
        <f t="shared" si="15"/>
        <v>0.114869728824551</v>
      </c>
      <c r="AA27">
        <f t="shared" si="16"/>
        <v>0.464052311154712</v>
      </c>
      <c r="AB27">
        <f t="shared" si="17"/>
        <v>0.0245204924023583</v>
      </c>
      <c r="AC27">
        <f t="shared" si="18"/>
        <v>8.68534106421703</v>
      </c>
    </row>
    <row r="28" spans="1:29">
      <c r="A28" s="17" t="s">
        <v>37</v>
      </c>
      <c r="B28" s="17" t="s">
        <v>30</v>
      </c>
      <c r="C28" s="17" t="s">
        <v>31</v>
      </c>
      <c r="D28" s="17">
        <v>744</v>
      </c>
      <c r="E28" s="17">
        <v>186</v>
      </c>
      <c r="F28" s="17">
        <v>98</v>
      </c>
      <c r="G28" s="17">
        <v>485</v>
      </c>
      <c r="H28" s="17">
        <v>73</v>
      </c>
      <c r="I28" s="17">
        <v>88</v>
      </c>
      <c r="J28" s="17">
        <v>0.698028673835125</v>
      </c>
      <c r="K28">
        <f t="shared" si="0"/>
        <v>0.783602150537634</v>
      </c>
      <c r="L28">
        <f t="shared" si="1"/>
        <v>0.573099415204678</v>
      </c>
      <c r="M28" s="18">
        <f t="shared" si="2"/>
        <v>0.526881720430108</v>
      </c>
      <c r="N28">
        <f t="shared" si="3"/>
        <v>0.846422338568935</v>
      </c>
      <c r="O28">
        <f t="shared" si="4"/>
        <v>0.846422338568935</v>
      </c>
      <c r="P28">
        <f t="shared" si="5"/>
        <v>0.473118279569892</v>
      </c>
      <c r="Q28">
        <f t="shared" si="6"/>
        <v>0.130824372759857</v>
      </c>
      <c r="R28">
        <f t="shared" si="7"/>
        <v>0.426900584795322</v>
      </c>
      <c r="S28">
        <f t="shared" si="8"/>
        <v>0.153577661431065</v>
      </c>
      <c r="T28">
        <f t="shared" si="9"/>
        <v>4.02739726027397</v>
      </c>
      <c r="U28">
        <f t="shared" si="10"/>
        <v>0.558962421017625</v>
      </c>
      <c r="V28">
        <f t="shared" si="11"/>
        <v>0.332575324684138</v>
      </c>
      <c r="W28">
        <f t="shared" si="12"/>
        <v>0.378378378378378</v>
      </c>
      <c r="X28">
        <f t="shared" si="13"/>
        <v>0.549019607843137</v>
      </c>
      <c r="Y28">
        <f t="shared" si="14"/>
        <v>0.40762074663779</v>
      </c>
      <c r="Z28">
        <f t="shared" si="15"/>
        <v>0.549504873372866</v>
      </c>
      <c r="AA28">
        <f t="shared" si="16"/>
        <v>0.373304058999043</v>
      </c>
      <c r="AB28">
        <f t="shared" si="17"/>
        <v>0.419521753773614</v>
      </c>
      <c r="AC28">
        <f t="shared" si="18"/>
        <v>7.20513062925026</v>
      </c>
    </row>
    <row r="29" spans="1:29">
      <c r="A29" s="17" t="s">
        <v>37</v>
      </c>
      <c r="B29" s="17" t="s">
        <v>32</v>
      </c>
      <c r="C29" s="17" t="s">
        <v>31</v>
      </c>
      <c r="D29" s="17">
        <v>744</v>
      </c>
      <c r="E29" s="17">
        <v>186</v>
      </c>
      <c r="F29" s="17">
        <v>40</v>
      </c>
      <c r="G29" s="17">
        <v>8664</v>
      </c>
      <c r="H29" s="17">
        <v>1246</v>
      </c>
      <c r="I29" s="17">
        <v>22</v>
      </c>
      <c r="J29" s="17">
        <v>0.759714853032127</v>
      </c>
      <c r="K29">
        <f t="shared" si="0"/>
        <v>0.872843963096671</v>
      </c>
      <c r="L29">
        <f t="shared" si="1"/>
        <v>0.031104199066874</v>
      </c>
      <c r="M29" s="18">
        <f t="shared" si="2"/>
        <v>0.645161290322581</v>
      </c>
      <c r="N29">
        <f t="shared" si="3"/>
        <v>0.997467188579323</v>
      </c>
      <c r="O29">
        <f t="shared" si="4"/>
        <v>0.997467188579323</v>
      </c>
      <c r="P29">
        <f t="shared" si="5"/>
        <v>0.354838709677419</v>
      </c>
      <c r="Q29">
        <f t="shared" si="6"/>
        <v>0.125731584258325</v>
      </c>
      <c r="R29">
        <f t="shared" si="7"/>
        <v>0.968895800933126</v>
      </c>
      <c r="S29">
        <f t="shared" si="8"/>
        <v>0.00253281142067695</v>
      </c>
      <c r="T29">
        <f t="shared" si="9"/>
        <v>5.13125873763786</v>
      </c>
      <c r="U29">
        <f t="shared" si="10"/>
        <v>0.355739731331725</v>
      </c>
      <c r="V29">
        <f t="shared" si="11"/>
        <v>0.306257309699073</v>
      </c>
      <c r="W29">
        <f t="shared" si="12"/>
        <v>0.0305810397553517</v>
      </c>
      <c r="X29">
        <f t="shared" si="13"/>
        <v>0.0593471810089021</v>
      </c>
      <c r="Y29">
        <f t="shared" si="14"/>
        <v>0.121822934979059</v>
      </c>
      <c r="Z29">
        <f t="shared" si="15"/>
        <v>0.141658833838327</v>
      </c>
      <c r="AA29">
        <f t="shared" si="16"/>
        <v>0.642628478901904</v>
      </c>
      <c r="AB29">
        <f t="shared" si="17"/>
        <v>0.028571387646197</v>
      </c>
      <c r="AC29">
        <f t="shared" si="18"/>
        <v>14.4241935485497</v>
      </c>
    </row>
    <row r="30" spans="1:29">
      <c r="A30" s="17" t="s">
        <v>38</v>
      </c>
      <c r="B30" s="17" t="s">
        <v>30</v>
      </c>
      <c r="C30" s="17" t="s">
        <v>31</v>
      </c>
      <c r="D30" s="17">
        <v>744</v>
      </c>
      <c r="E30" s="17">
        <v>186</v>
      </c>
      <c r="F30" s="17">
        <v>79</v>
      </c>
      <c r="G30" s="17">
        <v>532</v>
      </c>
      <c r="H30" s="17">
        <v>26</v>
      </c>
      <c r="I30" s="17">
        <v>107</v>
      </c>
      <c r="J30" s="17">
        <v>0.689068100358423</v>
      </c>
      <c r="K30">
        <f t="shared" si="0"/>
        <v>0.821236559139785</v>
      </c>
      <c r="L30">
        <f t="shared" si="1"/>
        <v>0.752380952380952</v>
      </c>
      <c r="M30" s="18">
        <f t="shared" si="2"/>
        <v>0.424731182795699</v>
      </c>
      <c r="N30">
        <f t="shared" si="3"/>
        <v>0.832550860719875</v>
      </c>
      <c r="O30">
        <f t="shared" si="4"/>
        <v>0.832550860719875</v>
      </c>
      <c r="P30">
        <f t="shared" si="5"/>
        <v>0.575268817204301</v>
      </c>
      <c r="Q30">
        <f t="shared" si="6"/>
        <v>0.046594982078853</v>
      </c>
      <c r="R30">
        <f t="shared" si="7"/>
        <v>0.247619047619048</v>
      </c>
      <c r="S30">
        <f t="shared" si="8"/>
        <v>0.167449139280125</v>
      </c>
      <c r="T30">
        <f t="shared" si="9"/>
        <v>9.11538461538461</v>
      </c>
      <c r="U30">
        <f t="shared" si="10"/>
        <v>0.690971380063061</v>
      </c>
      <c r="V30">
        <f t="shared" si="11"/>
        <v>0.248807619086073</v>
      </c>
      <c r="W30">
        <f t="shared" si="12"/>
        <v>0.372641509433962</v>
      </c>
      <c r="X30">
        <f t="shared" si="13"/>
        <v>0.542955326460481</v>
      </c>
      <c r="Y30">
        <f t="shared" si="14"/>
        <v>0.47030191737262</v>
      </c>
      <c r="Z30">
        <f t="shared" si="15"/>
        <v>0.565296074475771</v>
      </c>
      <c r="AA30">
        <f t="shared" si="16"/>
        <v>0.257282043515574</v>
      </c>
      <c r="AB30">
        <f t="shared" si="17"/>
        <v>0.584931813100827</v>
      </c>
      <c r="AC30">
        <f t="shared" si="18"/>
        <v>13.192130496856</v>
      </c>
    </row>
    <row r="31" spans="1:29">
      <c r="A31" s="17" t="s">
        <v>38</v>
      </c>
      <c r="B31" s="17" t="s">
        <v>32</v>
      </c>
      <c r="C31" s="17" t="s">
        <v>31</v>
      </c>
      <c r="D31" s="17">
        <v>744</v>
      </c>
      <c r="E31" s="17">
        <v>186</v>
      </c>
      <c r="F31" s="17">
        <v>21</v>
      </c>
      <c r="G31" s="17">
        <v>9394</v>
      </c>
      <c r="H31" s="17">
        <v>516</v>
      </c>
      <c r="I31" s="17">
        <v>41</v>
      </c>
      <c r="J31" s="17">
        <v>0.643320529930666</v>
      </c>
      <c r="K31">
        <f t="shared" si="0"/>
        <v>0.94414360208584</v>
      </c>
      <c r="L31">
        <f t="shared" si="1"/>
        <v>0.0391061452513966</v>
      </c>
      <c r="M31" s="18">
        <f t="shared" si="2"/>
        <v>0.338709677419355</v>
      </c>
      <c r="N31">
        <f t="shared" si="3"/>
        <v>0.995654478007419</v>
      </c>
      <c r="O31">
        <f t="shared" si="4"/>
        <v>0.995654478007419</v>
      </c>
      <c r="P31">
        <f t="shared" si="5"/>
        <v>0.661290322580645</v>
      </c>
      <c r="Q31">
        <f t="shared" si="6"/>
        <v>0.0520686175580222</v>
      </c>
      <c r="R31">
        <f t="shared" si="7"/>
        <v>0.960893854748603</v>
      </c>
      <c r="S31">
        <f t="shared" si="8"/>
        <v>0.00434552199258082</v>
      </c>
      <c r="T31">
        <f t="shared" si="9"/>
        <v>6.50506376594148</v>
      </c>
      <c r="U31">
        <f t="shared" si="10"/>
        <v>0.664176516238917</v>
      </c>
      <c r="V31">
        <f t="shared" si="11"/>
        <v>0.281650261574857</v>
      </c>
      <c r="W31">
        <f t="shared" si="12"/>
        <v>0.0363321799307958</v>
      </c>
      <c r="X31">
        <f t="shared" si="13"/>
        <v>0.0701168614357262</v>
      </c>
      <c r="Y31">
        <f t="shared" si="14"/>
        <v>0.0998189455581828</v>
      </c>
      <c r="Z31">
        <f t="shared" si="15"/>
        <v>0.115089660018678</v>
      </c>
      <c r="AA31">
        <f t="shared" si="16"/>
        <v>0.334364155426774</v>
      </c>
      <c r="AB31">
        <f t="shared" si="17"/>
        <v>0.0347606232588158</v>
      </c>
      <c r="AC31">
        <f t="shared" si="18"/>
        <v>9.79417911789204</v>
      </c>
    </row>
    <row r="32" spans="1:29">
      <c r="A32" s="17" t="s">
        <v>39</v>
      </c>
      <c r="B32" s="17" t="s">
        <v>30</v>
      </c>
      <c r="C32" s="17" t="s">
        <v>31</v>
      </c>
      <c r="D32" s="17">
        <v>744</v>
      </c>
      <c r="E32" s="17">
        <v>186</v>
      </c>
      <c r="F32" s="17">
        <v>174</v>
      </c>
      <c r="G32" s="17">
        <v>536</v>
      </c>
      <c r="H32" s="17">
        <v>22</v>
      </c>
      <c r="I32" s="17">
        <v>12</v>
      </c>
      <c r="J32" s="17">
        <v>0.948028673835125</v>
      </c>
      <c r="K32">
        <f t="shared" si="0"/>
        <v>0.954301075268817</v>
      </c>
      <c r="L32">
        <f t="shared" si="1"/>
        <v>0.887755102040816</v>
      </c>
      <c r="M32" s="18">
        <f t="shared" si="2"/>
        <v>0.935483870967742</v>
      </c>
      <c r="N32">
        <f t="shared" si="3"/>
        <v>0.978102189781022</v>
      </c>
      <c r="O32">
        <f t="shared" si="4"/>
        <v>0.978102189781022</v>
      </c>
      <c r="P32">
        <f t="shared" si="5"/>
        <v>0.0645161290322581</v>
      </c>
      <c r="Q32">
        <f t="shared" si="6"/>
        <v>0.039426523297491</v>
      </c>
      <c r="R32">
        <f t="shared" si="7"/>
        <v>0.112244897959184</v>
      </c>
      <c r="S32">
        <f t="shared" si="8"/>
        <v>0.0218978102189781</v>
      </c>
      <c r="T32">
        <f t="shared" si="9"/>
        <v>23.7272727272727</v>
      </c>
      <c r="U32">
        <f t="shared" si="10"/>
        <v>0.0659605199807415</v>
      </c>
      <c r="V32">
        <f t="shared" si="11"/>
        <v>0.170326853193901</v>
      </c>
      <c r="W32">
        <f t="shared" si="12"/>
        <v>0.836538461538462</v>
      </c>
      <c r="X32">
        <f t="shared" si="13"/>
        <v>0.910994764397906</v>
      </c>
      <c r="Y32">
        <f t="shared" si="14"/>
        <v>0.880827899405339</v>
      </c>
      <c r="Z32">
        <f t="shared" si="15"/>
        <v>0.91130707191841</v>
      </c>
      <c r="AA32">
        <f t="shared" si="16"/>
        <v>0.913586060748764</v>
      </c>
      <c r="AB32">
        <f t="shared" si="17"/>
        <v>0.865857291821838</v>
      </c>
      <c r="AC32">
        <f t="shared" si="18"/>
        <v>359.719309887193</v>
      </c>
    </row>
    <row r="33" spans="1:29">
      <c r="A33" s="17" t="s">
        <v>39</v>
      </c>
      <c r="B33" s="17" t="s">
        <v>32</v>
      </c>
      <c r="C33" s="17" t="s">
        <v>31</v>
      </c>
      <c r="D33" s="17">
        <v>744</v>
      </c>
      <c r="E33" s="17">
        <v>186</v>
      </c>
      <c r="F33" s="17">
        <v>41</v>
      </c>
      <c r="G33" s="17">
        <v>8484</v>
      </c>
      <c r="H33" s="17">
        <v>1426</v>
      </c>
      <c r="I33" s="17">
        <v>21</v>
      </c>
      <c r="J33" s="17">
        <v>0.758697633540574</v>
      </c>
      <c r="K33">
        <f t="shared" si="0"/>
        <v>0.854893702366627</v>
      </c>
      <c r="L33">
        <f t="shared" si="1"/>
        <v>0.0279481935923654</v>
      </c>
      <c r="M33" s="18">
        <f t="shared" si="2"/>
        <v>0.661290322580645</v>
      </c>
      <c r="N33">
        <f t="shared" si="3"/>
        <v>0.997530864197531</v>
      </c>
      <c r="O33">
        <f t="shared" si="4"/>
        <v>0.997530864197531</v>
      </c>
      <c r="P33">
        <f t="shared" si="5"/>
        <v>0.338709677419355</v>
      </c>
      <c r="Q33">
        <f t="shared" si="6"/>
        <v>0.143895055499495</v>
      </c>
      <c r="R33">
        <f t="shared" si="7"/>
        <v>0.972051806407635</v>
      </c>
      <c r="S33">
        <f t="shared" si="8"/>
        <v>0.00246913580246914</v>
      </c>
      <c r="T33">
        <f t="shared" si="9"/>
        <v>4.5956431253676</v>
      </c>
      <c r="U33">
        <f t="shared" si="10"/>
        <v>0.339548067709997</v>
      </c>
      <c r="V33">
        <f t="shared" si="11"/>
        <v>0.318091945396089</v>
      </c>
      <c r="W33">
        <f t="shared" si="12"/>
        <v>0.0275537634408602</v>
      </c>
      <c r="X33">
        <f t="shared" si="13"/>
        <v>0.0536298234139961</v>
      </c>
      <c r="Y33">
        <f t="shared" si="14"/>
        <v>0.114816130879678</v>
      </c>
      <c r="Z33">
        <f t="shared" si="15"/>
        <v>0.135948041384352</v>
      </c>
      <c r="AA33">
        <f t="shared" si="16"/>
        <v>0.658821186778176</v>
      </c>
      <c r="AB33">
        <f t="shared" si="17"/>
        <v>0.0254790577898962</v>
      </c>
      <c r="AC33">
        <f t="shared" si="18"/>
        <v>13.5345877723936</v>
      </c>
    </row>
    <row r="34" spans="1:29">
      <c r="A34" s="17" t="s">
        <v>29</v>
      </c>
      <c r="B34" s="17" t="s">
        <v>30</v>
      </c>
      <c r="C34" s="17" t="s">
        <v>31</v>
      </c>
      <c r="D34" s="17">
        <v>744</v>
      </c>
      <c r="E34" s="17">
        <v>186</v>
      </c>
      <c r="F34" s="17">
        <v>77</v>
      </c>
      <c r="G34" s="17">
        <v>519</v>
      </c>
      <c r="H34" s="17">
        <v>39</v>
      </c>
      <c r="I34" s="17">
        <v>109</v>
      </c>
      <c r="J34" s="17">
        <v>0.672043010752688</v>
      </c>
      <c r="K34">
        <f t="shared" si="0"/>
        <v>0.801075268817204</v>
      </c>
      <c r="L34">
        <f t="shared" si="1"/>
        <v>0.663793103448276</v>
      </c>
      <c r="M34" s="18">
        <f t="shared" si="2"/>
        <v>0.413978494623656</v>
      </c>
      <c r="N34">
        <f t="shared" si="3"/>
        <v>0.826433121019108</v>
      </c>
      <c r="O34">
        <f t="shared" si="4"/>
        <v>0.826433121019108</v>
      </c>
      <c r="P34">
        <f t="shared" si="5"/>
        <v>0.586021505376344</v>
      </c>
      <c r="Q34">
        <f t="shared" si="6"/>
        <v>0.0698924731182796</v>
      </c>
      <c r="R34">
        <f t="shared" si="7"/>
        <v>0.336206896551724</v>
      </c>
      <c r="S34">
        <f t="shared" si="8"/>
        <v>0.173566878980892</v>
      </c>
      <c r="T34">
        <f t="shared" si="9"/>
        <v>5.92307692307692</v>
      </c>
      <c r="U34">
        <f t="shared" si="10"/>
        <v>0.709097312863861</v>
      </c>
      <c r="V34">
        <f t="shared" si="11"/>
        <v>0.291227875611137</v>
      </c>
      <c r="W34">
        <f t="shared" si="12"/>
        <v>0.342222222222222</v>
      </c>
      <c r="X34">
        <f t="shared" si="13"/>
        <v>0.509933774834437</v>
      </c>
      <c r="Y34">
        <f t="shared" si="14"/>
        <v>0.410706697309143</v>
      </c>
      <c r="Z34">
        <f t="shared" si="15"/>
        <v>0.52420994811915</v>
      </c>
      <c r="AA34">
        <f t="shared" si="16"/>
        <v>0.240411615642764</v>
      </c>
      <c r="AB34">
        <f t="shared" si="17"/>
        <v>0.490226224467384</v>
      </c>
      <c r="AC34">
        <f t="shared" si="18"/>
        <v>8.35298176375136</v>
      </c>
    </row>
    <row r="35" spans="1:29">
      <c r="A35" s="17" t="s">
        <v>29</v>
      </c>
      <c r="B35" s="17" t="s">
        <v>32</v>
      </c>
      <c r="C35" s="17" t="s">
        <v>31</v>
      </c>
      <c r="D35" s="17">
        <v>744</v>
      </c>
      <c r="E35" s="17">
        <v>186</v>
      </c>
      <c r="F35" s="17">
        <v>17</v>
      </c>
      <c r="G35" s="17">
        <v>9303</v>
      </c>
      <c r="H35" s="17">
        <v>607</v>
      </c>
      <c r="I35" s="17">
        <v>45</v>
      </c>
      <c r="J35" s="17">
        <v>0.606471143517463</v>
      </c>
      <c r="K35">
        <f t="shared" ref="K35:K66" si="19">(F35+G35)/(I35+H35+G35+F35)</f>
        <v>0.934616927396711</v>
      </c>
      <c r="L35">
        <f t="shared" ref="L35:L66" si="20">IF(F35=0,0,F35/(H35+F35))</f>
        <v>0.0272435897435897</v>
      </c>
      <c r="M35" s="18">
        <f t="shared" ref="M35:M66" si="21">IF(F35=0,0,F35/(F35+I35))</f>
        <v>0.274193548387097</v>
      </c>
      <c r="N35">
        <f t="shared" ref="N35:N66" si="22">IF(G35=0,0,G35/(I35+G35))</f>
        <v>0.995186136071887</v>
      </c>
      <c r="O35">
        <f t="shared" ref="O35:O66" si="23">G35/(I35+G35)</f>
        <v>0.995186136071887</v>
      </c>
      <c r="P35">
        <f t="shared" ref="P35:P66" si="24">I35/(I35+F35)</f>
        <v>0.725806451612903</v>
      </c>
      <c r="Q35">
        <f t="shared" ref="Q35:Q66" si="25">H35/(H35+G35)</f>
        <v>0.0612512613521695</v>
      </c>
      <c r="R35">
        <f t="shared" ref="R35:R66" si="26">IF(H35=0,0,H35/(H35+F35))</f>
        <v>0.97275641025641</v>
      </c>
      <c r="S35">
        <f t="shared" ref="S35:S66" si="27">I35/(I35+G35)</f>
        <v>0.00481386392811297</v>
      </c>
      <c r="T35">
        <f t="shared" ref="T35:T66" si="28">IF(Q35=0,0,M35/Q35)</f>
        <v>4.47653717383217</v>
      </c>
      <c r="U35">
        <f t="shared" ref="U35:U66" si="29">P35/N35</f>
        <v>0.729317285787103</v>
      </c>
      <c r="V35">
        <f t="shared" ref="V35:V66" si="30">IF(SQRT(Q35)=0,0,SQRT(Q35)/(SQRT(M35)+SQRT(Q35)))</f>
        <v>0.320946625661005</v>
      </c>
      <c r="W35">
        <f t="shared" ref="W35:W66" si="31">F35/(F35+I35+H35)</f>
        <v>0.0254110612855007</v>
      </c>
      <c r="X35">
        <f t="shared" ref="X35:X66" si="32">(2*F35)/(H35+I35+(2*F35))</f>
        <v>0.0495626822157434</v>
      </c>
      <c r="Y35">
        <f t="shared" ref="Y35:Y66" si="33">((F35*G35)-(H35*I35))/SQRT((F35+H35)*(F35+I35)*(G35+I35)*(G35+H35))</f>
        <v>0.0691103256591515</v>
      </c>
      <c r="Z35">
        <f t="shared" ref="Z35:Z66" si="34">SQRT(L35*M35)</f>
        <v>0.0864292574455964</v>
      </c>
      <c r="AA35">
        <f t="shared" ref="AA35:AA66" si="35">M35+N35-1</f>
        <v>0.269379684458984</v>
      </c>
      <c r="AB35">
        <f t="shared" ref="AB35:AB66" si="36">L35+O35-1</f>
        <v>0.0224297258154766</v>
      </c>
      <c r="AC35">
        <f t="shared" ref="AC35:AC66" si="37">IF(U35=0,0,T35/U35)</f>
        <v>6.13798309881131</v>
      </c>
    </row>
    <row r="36" spans="1:29">
      <c r="A36" s="17" t="s">
        <v>33</v>
      </c>
      <c r="B36" s="17" t="s">
        <v>30</v>
      </c>
      <c r="C36" s="17" t="s">
        <v>31</v>
      </c>
      <c r="D36" s="17">
        <v>744</v>
      </c>
      <c r="E36" s="17">
        <v>186</v>
      </c>
      <c r="F36" s="17">
        <v>69</v>
      </c>
      <c r="G36" s="17">
        <v>521</v>
      </c>
      <c r="H36" s="17">
        <v>37</v>
      </c>
      <c r="I36" s="17">
        <v>117</v>
      </c>
      <c r="J36" s="17">
        <v>0.652329749103942</v>
      </c>
      <c r="K36">
        <f t="shared" si="19"/>
        <v>0.793010752688172</v>
      </c>
      <c r="L36">
        <f t="shared" si="20"/>
        <v>0.650943396226415</v>
      </c>
      <c r="M36" s="18">
        <f t="shared" si="21"/>
        <v>0.370967741935484</v>
      </c>
      <c r="N36">
        <f t="shared" si="22"/>
        <v>0.816614420062696</v>
      </c>
      <c r="O36">
        <f t="shared" si="23"/>
        <v>0.816614420062696</v>
      </c>
      <c r="P36">
        <f t="shared" si="24"/>
        <v>0.629032258064516</v>
      </c>
      <c r="Q36">
        <f t="shared" si="25"/>
        <v>0.0663082437275986</v>
      </c>
      <c r="R36">
        <f t="shared" si="26"/>
        <v>0.349056603773585</v>
      </c>
      <c r="S36">
        <f t="shared" si="27"/>
        <v>0.183385579937304</v>
      </c>
      <c r="T36">
        <f t="shared" si="28"/>
        <v>5.59459459459459</v>
      </c>
      <c r="U36">
        <f t="shared" si="29"/>
        <v>0.77029286112315</v>
      </c>
      <c r="V36">
        <f t="shared" si="30"/>
        <v>0.297151252205229</v>
      </c>
      <c r="W36">
        <f t="shared" si="31"/>
        <v>0.309417040358744</v>
      </c>
      <c r="X36">
        <f t="shared" si="32"/>
        <v>0.472602739726027</v>
      </c>
      <c r="Y36">
        <f t="shared" si="33"/>
        <v>0.377420097098466</v>
      </c>
      <c r="Z36">
        <f t="shared" si="34"/>
        <v>0.491405130036234</v>
      </c>
      <c r="AA36">
        <f t="shared" si="35"/>
        <v>0.18758216199818</v>
      </c>
      <c r="AB36">
        <f t="shared" si="36"/>
        <v>0.467557816289111</v>
      </c>
      <c r="AC36">
        <f t="shared" si="37"/>
        <v>7.26294488363454</v>
      </c>
    </row>
    <row r="37" spans="1:29">
      <c r="A37" s="17" t="s">
        <v>33</v>
      </c>
      <c r="B37" s="17" t="s">
        <v>32</v>
      </c>
      <c r="C37" s="17" t="s">
        <v>31</v>
      </c>
      <c r="D37" s="17">
        <v>744</v>
      </c>
      <c r="E37" s="17">
        <v>186</v>
      </c>
      <c r="F37" s="17">
        <v>14</v>
      </c>
      <c r="G37" s="17">
        <v>9375</v>
      </c>
      <c r="H37" s="17">
        <v>535</v>
      </c>
      <c r="I37" s="17">
        <v>48</v>
      </c>
      <c r="J37" s="17">
        <v>0.585910289378601</v>
      </c>
      <c r="K37">
        <f t="shared" si="19"/>
        <v>0.941536301644605</v>
      </c>
      <c r="L37">
        <f t="shared" si="20"/>
        <v>0.0255009107468124</v>
      </c>
      <c r="M37" s="18">
        <f t="shared" si="21"/>
        <v>0.225806451612903</v>
      </c>
      <c r="N37">
        <f t="shared" si="22"/>
        <v>0.994906080865966</v>
      </c>
      <c r="O37">
        <f t="shared" si="23"/>
        <v>0.994906080865966</v>
      </c>
      <c r="P37">
        <f t="shared" si="24"/>
        <v>0.774193548387097</v>
      </c>
      <c r="Q37">
        <f t="shared" si="25"/>
        <v>0.0539858728557013</v>
      </c>
      <c r="R37">
        <f t="shared" si="26"/>
        <v>0.974499089253188</v>
      </c>
      <c r="S37">
        <f t="shared" si="27"/>
        <v>0.00509391913403375</v>
      </c>
      <c r="T37">
        <f t="shared" si="28"/>
        <v>4.18269520651191</v>
      </c>
      <c r="U37">
        <f t="shared" si="29"/>
        <v>0.778157419354839</v>
      </c>
      <c r="V37">
        <f t="shared" si="30"/>
        <v>0.328389553599016</v>
      </c>
      <c r="W37">
        <f t="shared" si="31"/>
        <v>0.0234505862646566</v>
      </c>
      <c r="X37">
        <f t="shared" si="32"/>
        <v>0.0458265139116203</v>
      </c>
      <c r="Y37">
        <f t="shared" si="33"/>
        <v>0.0592143657367111</v>
      </c>
      <c r="Z37">
        <f t="shared" si="34"/>
        <v>0.0758832667235343</v>
      </c>
      <c r="AA37">
        <f t="shared" si="35"/>
        <v>0.220712532478869</v>
      </c>
      <c r="AB37">
        <f t="shared" si="36"/>
        <v>0.0204069916127787</v>
      </c>
      <c r="AC37">
        <f t="shared" si="37"/>
        <v>5.37512732318318</v>
      </c>
    </row>
    <row r="38" spans="1:29">
      <c r="A38" s="17" t="s">
        <v>34</v>
      </c>
      <c r="B38" s="17" t="s">
        <v>30</v>
      </c>
      <c r="C38" s="17" t="s">
        <v>31</v>
      </c>
      <c r="D38" s="17">
        <v>744</v>
      </c>
      <c r="E38" s="17">
        <v>186</v>
      </c>
      <c r="F38" s="17">
        <v>186</v>
      </c>
      <c r="G38" s="17">
        <v>558</v>
      </c>
      <c r="H38" s="17">
        <v>0</v>
      </c>
      <c r="I38" s="17">
        <v>0</v>
      </c>
      <c r="J38" s="17">
        <v>1</v>
      </c>
      <c r="K38">
        <f t="shared" si="19"/>
        <v>1</v>
      </c>
      <c r="L38">
        <f t="shared" si="20"/>
        <v>1</v>
      </c>
      <c r="M38" s="18">
        <f t="shared" si="21"/>
        <v>1</v>
      </c>
      <c r="N38">
        <f t="shared" si="22"/>
        <v>1</v>
      </c>
      <c r="O38">
        <f t="shared" si="23"/>
        <v>1</v>
      </c>
      <c r="P38">
        <f t="shared" si="24"/>
        <v>0</v>
      </c>
      <c r="Q38">
        <f t="shared" si="25"/>
        <v>0</v>
      </c>
      <c r="R38">
        <f t="shared" si="26"/>
        <v>0</v>
      </c>
      <c r="S38">
        <f t="shared" si="27"/>
        <v>0</v>
      </c>
      <c r="T38">
        <f t="shared" si="28"/>
        <v>0</v>
      </c>
      <c r="U38">
        <f t="shared" si="29"/>
        <v>0</v>
      </c>
      <c r="V38">
        <f t="shared" si="30"/>
        <v>0</v>
      </c>
      <c r="W38">
        <f t="shared" si="31"/>
        <v>1</v>
      </c>
      <c r="X38">
        <f t="shared" si="32"/>
        <v>1</v>
      </c>
      <c r="Y38">
        <f t="shared" si="33"/>
        <v>1</v>
      </c>
      <c r="Z38">
        <f t="shared" si="34"/>
        <v>1</v>
      </c>
      <c r="AA38">
        <f t="shared" si="35"/>
        <v>1</v>
      </c>
      <c r="AB38">
        <f t="shared" si="36"/>
        <v>1</v>
      </c>
      <c r="AC38">
        <f t="shared" si="37"/>
        <v>0</v>
      </c>
    </row>
    <row r="39" spans="1:29">
      <c r="A39" s="17" t="s">
        <v>34</v>
      </c>
      <c r="B39" s="17" t="s">
        <v>32</v>
      </c>
      <c r="C39" s="17" t="s">
        <v>31</v>
      </c>
      <c r="D39" s="17">
        <v>744</v>
      </c>
      <c r="E39" s="17">
        <v>186</v>
      </c>
      <c r="F39" s="17">
        <v>23</v>
      </c>
      <c r="G39" s="17">
        <v>8261</v>
      </c>
      <c r="H39" s="17">
        <v>1649</v>
      </c>
      <c r="I39" s="17">
        <v>39</v>
      </c>
      <c r="J39" s="17">
        <v>0.602285081865824</v>
      </c>
      <c r="K39">
        <f t="shared" si="19"/>
        <v>0.830726032892098</v>
      </c>
      <c r="L39">
        <f t="shared" si="20"/>
        <v>0.013755980861244</v>
      </c>
      <c r="M39" s="18">
        <f t="shared" si="21"/>
        <v>0.370967741935484</v>
      </c>
      <c r="N39">
        <f t="shared" si="22"/>
        <v>0.995301204819277</v>
      </c>
      <c r="O39">
        <f t="shared" si="23"/>
        <v>0.995301204819277</v>
      </c>
      <c r="P39">
        <f t="shared" si="24"/>
        <v>0.629032258064516</v>
      </c>
      <c r="Q39">
        <f t="shared" si="25"/>
        <v>0.166397578203835</v>
      </c>
      <c r="R39">
        <f t="shared" si="26"/>
        <v>0.986244019138756</v>
      </c>
      <c r="S39">
        <f t="shared" si="27"/>
        <v>0.00469879518072289</v>
      </c>
      <c r="T39">
        <f t="shared" si="28"/>
        <v>2.22940589604648</v>
      </c>
      <c r="U39">
        <f t="shared" si="29"/>
        <v>0.632001905572628</v>
      </c>
      <c r="V39">
        <f t="shared" si="30"/>
        <v>0.401103915253136</v>
      </c>
      <c r="W39">
        <f t="shared" si="31"/>
        <v>0.0134424313267095</v>
      </c>
      <c r="X39">
        <f t="shared" si="32"/>
        <v>0.0265282583621684</v>
      </c>
      <c r="Y39">
        <f t="shared" si="33"/>
        <v>0.0430445113529258</v>
      </c>
      <c r="Z39">
        <f t="shared" si="34"/>
        <v>0.0714354614893991</v>
      </c>
      <c r="AA39">
        <f t="shared" si="35"/>
        <v>0.366268946754761</v>
      </c>
      <c r="AB39">
        <f t="shared" si="36"/>
        <v>0.00905718568052105</v>
      </c>
      <c r="AC39">
        <f t="shared" si="37"/>
        <v>3.52753033873611</v>
      </c>
    </row>
    <row r="40" spans="1:29">
      <c r="A40" s="17" t="s">
        <v>35</v>
      </c>
      <c r="B40" s="17" t="s">
        <v>30</v>
      </c>
      <c r="C40" s="17" t="s">
        <v>31</v>
      </c>
      <c r="D40" s="17">
        <v>744</v>
      </c>
      <c r="E40" s="17">
        <v>186</v>
      </c>
      <c r="F40" s="17">
        <v>186</v>
      </c>
      <c r="G40" s="17">
        <v>558</v>
      </c>
      <c r="H40" s="17">
        <v>0</v>
      </c>
      <c r="I40" s="17">
        <v>0</v>
      </c>
      <c r="J40" s="17">
        <v>1</v>
      </c>
      <c r="K40">
        <f t="shared" si="19"/>
        <v>1</v>
      </c>
      <c r="L40">
        <f t="shared" si="20"/>
        <v>1</v>
      </c>
      <c r="M40" s="18">
        <f t="shared" si="21"/>
        <v>1</v>
      </c>
      <c r="N40">
        <f t="shared" si="22"/>
        <v>1</v>
      </c>
      <c r="O40">
        <f t="shared" si="23"/>
        <v>1</v>
      </c>
      <c r="P40">
        <f t="shared" si="24"/>
        <v>0</v>
      </c>
      <c r="Q40">
        <f t="shared" si="25"/>
        <v>0</v>
      </c>
      <c r="R40">
        <f t="shared" si="26"/>
        <v>0</v>
      </c>
      <c r="S40">
        <f t="shared" si="27"/>
        <v>0</v>
      </c>
      <c r="T40">
        <f t="shared" si="28"/>
        <v>0</v>
      </c>
      <c r="U40">
        <f t="shared" si="29"/>
        <v>0</v>
      </c>
      <c r="V40">
        <f t="shared" si="30"/>
        <v>0</v>
      </c>
      <c r="W40">
        <f t="shared" si="31"/>
        <v>1</v>
      </c>
      <c r="X40">
        <f t="shared" si="32"/>
        <v>1</v>
      </c>
      <c r="Y40">
        <f t="shared" si="33"/>
        <v>1</v>
      </c>
      <c r="Z40">
        <f t="shared" si="34"/>
        <v>1</v>
      </c>
      <c r="AA40">
        <f t="shared" si="35"/>
        <v>1</v>
      </c>
      <c r="AB40">
        <f t="shared" si="36"/>
        <v>1</v>
      </c>
      <c r="AC40">
        <f t="shared" si="37"/>
        <v>0</v>
      </c>
    </row>
    <row r="41" spans="1:29">
      <c r="A41" s="17" t="s">
        <v>35</v>
      </c>
      <c r="B41" s="17" t="s">
        <v>32</v>
      </c>
      <c r="C41" s="17" t="s">
        <v>31</v>
      </c>
      <c r="D41" s="17">
        <v>744</v>
      </c>
      <c r="E41" s="17">
        <v>186</v>
      </c>
      <c r="F41" s="17">
        <v>25</v>
      </c>
      <c r="G41" s="17">
        <v>9193</v>
      </c>
      <c r="H41" s="17">
        <v>717</v>
      </c>
      <c r="I41" s="17">
        <v>37</v>
      </c>
      <c r="J41" s="17">
        <v>0.665437323003808</v>
      </c>
      <c r="K41">
        <f t="shared" si="19"/>
        <v>0.924388287204172</v>
      </c>
      <c r="L41">
        <f t="shared" si="20"/>
        <v>0.0336927223719677</v>
      </c>
      <c r="M41" s="18">
        <f t="shared" si="21"/>
        <v>0.403225806451613</v>
      </c>
      <c r="N41">
        <f t="shared" si="22"/>
        <v>0.995991332611051</v>
      </c>
      <c r="O41">
        <f t="shared" si="23"/>
        <v>0.995991332611051</v>
      </c>
      <c r="P41">
        <f t="shared" si="24"/>
        <v>0.596774193548387</v>
      </c>
      <c r="Q41">
        <f t="shared" si="25"/>
        <v>0.072351160443996</v>
      </c>
      <c r="R41">
        <f t="shared" si="26"/>
        <v>0.966307277628032</v>
      </c>
      <c r="S41">
        <f t="shared" si="27"/>
        <v>0.00400866738894908</v>
      </c>
      <c r="T41">
        <f t="shared" si="28"/>
        <v>5.5731767669951</v>
      </c>
      <c r="U41">
        <f t="shared" si="29"/>
        <v>0.59917609120544</v>
      </c>
      <c r="V41">
        <f t="shared" si="30"/>
        <v>0.297551950717328</v>
      </c>
      <c r="W41">
        <f t="shared" si="31"/>
        <v>0.0320924261874198</v>
      </c>
      <c r="X41">
        <f t="shared" si="32"/>
        <v>0.0621890547263682</v>
      </c>
      <c r="Y41">
        <f t="shared" si="33"/>
        <v>0.0991044962883971</v>
      </c>
      <c r="Z41">
        <f t="shared" si="34"/>
        <v>0.11655803339962</v>
      </c>
      <c r="AA41">
        <f t="shared" si="35"/>
        <v>0.399217139062664</v>
      </c>
      <c r="AB41">
        <f t="shared" si="36"/>
        <v>0.0296840549830186</v>
      </c>
      <c r="AC41">
        <f t="shared" si="37"/>
        <v>9.30140045438531</v>
      </c>
    </row>
    <row r="42" spans="1:29">
      <c r="A42" s="17" t="s">
        <v>36</v>
      </c>
      <c r="B42" s="17" t="s">
        <v>30</v>
      </c>
      <c r="C42" s="17" t="s">
        <v>31</v>
      </c>
      <c r="D42" s="17">
        <v>744</v>
      </c>
      <c r="E42" s="17">
        <v>186</v>
      </c>
      <c r="F42" s="17">
        <v>117</v>
      </c>
      <c r="G42" s="17">
        <v>516</v>
      </c>
      <c r="H42" s="17">
        <v>42</v>
      </c>
      <c r="I42" s="17">
        <v>69</v>
      </c>
      <c r="J42" s="17">
        <v>0.776881720430107</v>
      </c>
      <c r="K42">
        <f t="shared" si="19"/>
        <v>0.850806451612903</v>
      </c>
      <c r="L42">
        <f t="shared" si="20"/>
        <v>0.735849056603774</v>
      </c>
      <c r="M42" s="18">
        <f t="shared" si="21"/>
        <v>0.629032258064516</v>
      </c>
      <c r="N42">
        <f t="shared" si="22"/>
        <v>0.882051282051282</v>
      </c>
      <c r="O42">
        <f t="shared" si="23"/>
        <v>0.882051282051282</v>
      </c>
      <c r="P42">
        <f t="shared" si="24"/>
        <v>0.370967741935484</v>
      </c>
      <c r="Q42">
        <f t="shared" si="25"/>
        <v>0.0752688172043011</v>
      </c>
      <c r="R42">
        <f t="shared" si="26"/>
        <v>0.264150943396226</v>
      </c>
      <c r="S42">
        <f t="shared" si="27"/>
        <v>0.117948717948718</v>
      </c>
      <c r="T42">
        <f t="shared" si="28"/>
        <v>8.35714285714286</v>
      </c>
      <c r="U42">
        <f t="shared" si="29"/>
        <v>0.420573893473368</v>
      </c>
      <c r="V42">
        <f t="shared" si="30"/>
        <v>0.25701177368637</v>
      </c>
      <c r="W42">
        <f t="shared" si="31"/>
        <v>0.513157894736842</v>
      </c>
      <c r="X42">
        <f t="shared" si="32"/>
        <v>0.678260869565217</v>
      </c>
      <c r="Y42">
        <f t="shared" si="33"/>
        <v>0.584953517505721</v>
      </c>
      <c r="Z42">
        <f t="shared" si="34"/>
        <v>0.68034755358575</v>
      </c>
      <c r="AA42">
        <f t="shared" si="35"/>
        <v>0.511083540115798</v>
      </c>
      <c r="AB42">
        <f t="shared" si="36"/>
        <v>0.617900338655056</v>
      </c>
      <c r="AC42">
        <f t="shared" si="37"/>
        <v>19.8708074534161</v>
      </c>
    </row>
    <row r="43" spans="1:29">
      <c r="A43" s="17" t="s">
        <v>36</v>
      </c>
      <c r="B43" s="17" t="s">
        <v>32</v>
      </c>
      <c r="C43" s="17" t="s">
        <v>31</v>
      </c>
      <c r="D43" s="17">
        <v>744</v>
      </c>
      <c r="E43" s="17">
        <v>186</v>
      </c>
      <c r="F43" s="17">
        <v>18</v>
      </c>
      <c r="G43" s="17">
        <v>8948</v>
      </c>
      <c r="H43" s="17">
        <v>962</v>
      </c>
      <c r="I43" s="17">
        <v>44</v>
      </c>
      <c r="J43" s="17">
        <v>0.59662445883923</v>
      </c>
      <c r="K43">
        <f t="shared" si="19"/>
        <v>0.899117529081428</v>
      </c>
      <c r="L43">
        <f t="shared" si="20"/>
        <v>0.0183673469387755</v>
      </c>
      <c r="M43" s="18">
        <f t="shared" si="21"/>
        <v>0.290322580645161</v>
      </c>
      <c r="N43">
        <f t="shared" si="22"/>
        <v>0.995106761565836</v>
      </c>
      <c r="O43">
        <f t="shared" si="23"/>
        <v>0.995106761565836</v>
      </c>
      <c r="P43">
        <f t="shared" si="24"/>
        <v>0.709677419354839</v>
      </c>
      <c r="Q43">
        <f t="shared" si="25"/>
        <v>0.0970736629667003</v>
      </c>
      <c r="R43">
        <f t="shared" si="26"/>
        <v>0.981632653061224</v>
      </c>
      <c r="S43">
        <f t="shared" si="27"/>
        <v>0.0048932384341637</v>
      </c>
      <c r="T43">
        <f t="shared" si="28"/>
        <v>2.99074508751928</v>
      </c>
      <c r="U43">
        <f t="shared" si="29"/>
        <v>0.713167116097308</v>
      </c>
      <c r="V43">
        <f t="shared" si="30"/>
        <v>0.366383966159434</v>
      </c>
      <c r="W43">
        <f t="shared" si="31"/>
        <v>0.017578125</v>
      </c>
      <c r="X43">
        <f t="shared" si="32"/>
        <v>0.0345489443378119</v>
      </c>
      <c r="Y43">
        <f t="shared" si="33"/>
        <v>0.0510280009915965</v>
      </c>
      <c r="Z43">
        <f t="shared" si="34"/>
        <v>0.073023664403194</v>
      </c>
      <c r="AA43">
        <f t="shared" si="35"/>
        <v>0.285429342210998</v>
      </c>
      <c r="AB43">
        <f t="shared" si="36"/>
        <v>0.0134741085046119</v>
      </c>
      <c r="AC43">
        <f t="shared" si="37"/>
        <v>4.19361047363716</v>
      </c>
    </row>
    <row r="44" spans="1:29">
      <c r="A44" s="17" t="s">
        <v>37</v>
      </c>
      <c r="B44" s="17" t="s">
        <v>30</v>
      </c>
      <c r="C44" s="17" t="s">
        <v>31</v>
      </c>
      <c r="D44" s="17">
        <v>744</v>
      </c>
      <c r="E44" s="17">
        <v>186</v>
      </c>
      <c r="F44" s="17">
        <v>86</v>
      </c>
      <c r="G44" s="17">
        <v>496</v>
      </c>
      <c r="H44" s="17">
        <v>62</v>
      </c>
      <c r="I44" s="17">
        <v>100</v>
      </c>
      <c r="J44" s="17">
        <v>0.675627240143369</v>
      </c>
      <c r="K44">
        <f t="shared" si="19"/>
        <v>0.782258064516129</v>
      </c>
      <c r="L44">
        <f t="shared" si="20"/>
        <v>0.581081081081081</v>
      </c>
      <c r="M44" s="18">
        <f t="shared" si="21"/>
        <v>0.462365591397849</v>
      </c>
      <c r="N44">
        <f t="shared" si="22"/>
        <v>0.832214765100671</v>
      </c>
      <c r="O44">
        <f t="shared" si="23"/>
        <v>0.832214765100671</v>
      </c>
      <c r="P44">
        <f t="shared" si="24"/>
        <v>0.537634408602151</v>
      </c>
      <c r="Q44">
        <f t="shared" si="25"/>
        <v>0.111111111111111</v>
      </c>
      <c r="R44">
        <f t="shared" si="26"/>
        <v>0.418918918918919</v>
      </c>
      <c r="S44">
        <f t="shared" si="27"/>
        <v>0.167785234899329</v>
      </c>
      <c r="T44">
        <f t="shared" si="28"/>
        <v>4.16129032258065</v>
      </c>
      <c r="U44">
        <f t="shared" si="29"/>
        <v>0.64602844259452</v>
      </c>
      <c r="V44">
        <f t="shared" si="30"/>
        <v>0.328955581786219</v>
      </c>
      <c r="W44">
        <f t="shared" si="31"/>
        <v>0.346774193548387</v>
      </c>
      <c r="X44">
        <f t="shared" si="32"/>
        <v>0.514970059880239</v>
      </c>
      <c r="Y44">
        <f t="shared" si="33"/>
        <v>0.381014458590798</v>
      </c>
      <c r="Z44">
        <f t="shared" si="34"/>
        <v>0.518335699816399</v>
      </c>
      <c r="AA44">
        <f t="shared" si="35"/>
        <v>0.294580356498521</v>
      </c>
      <c r="AB44">
        <f t="shared" si="36"/>
        <v>0.413295846181752</v>
      </c>
      <c r="AC44">
        <f t="shared" si="37"/>
        <v>6.4413422818792</v>
      </c>
    </row>
    <row r="45" spans="1:29">
      <c r="A45" s="17" t="s">
        <v>37</v>
      </c>
      <c r="B45" s="17" t="s">
        <v>32</v>
      </c>
      <c r="C45" s="17" t="s">
        <v>31</v>
      </c>
      <c r="D45" s="17">
        <v>744</v>
      </c>
      <c r="E45" s="17">
        <v>186</v>
      </c>
      <c r="F45" s="17">
        <v>21</v>
      </c>
      <c r="G45" s="17">
        <v>8720</v>
      </c>
      <c r="H45" s="17">
        <v>1190</v>
      </c>
      <c r="I45" s="17">
        <v>41</v>
      </c>
      <c r="J45" s="17">
        <v>0.609314475440252</v>
      </c>
      <c r="K45">
        <f t="shared" si="19"/>
        <v>0.876554352186121</v>
      </c>
      <c r="L45">
        <f t="shared" si="20"/>
        <v>0.0173410404624277</v>
      </c>
      <c r="M45" s="18">
        <f t="shared" si="21"/>
        <v>0.338709677419355</v>
      </c>
      <c r="N45">
        <f t="shared" si="22"/>
        <v>0.995320168930487</v>
      </c>
      <c r="O45">
        <f t="shared" si="23"/>
        <v>0.995320168930487</v>
      </c>
      <c r="P45">
        <f t="shared" si="24"/>
        <v>0.661290322580645</v>
      </c>
      <c r="Q45">
        <f t="shared" si="25"/>
        <v>0.12008072653885</v>
      </c>
      <c r="R45">
        <f t="shared" si="26"/>
        <v>0.982658959537572</v>
      </c>
      <c r="S45">
        <f t="shared" si="27"/>
        <v>0.00467983106951261</v>
      </c>
      <c r="T45">
        <f t="shared" si="28"/>
        <v>2.82068311195446</v>
      </c>
      <c r="U45">
        <f t="shared" si="29"/>
        <v>0.664399600473513</v>
      </c>
      <c r="V45">
        <f t="shared" si="30"/>
        <v>0.373205495905264</v>
      </c>
      <c r="W45">
        <f t="shared" si="31"/>
        <v>0.0167731629392971</v>
      </c>
      <c r="X45">
        <f t="shared" si="32"/>
        <v>0.0329929300864101</v>
      </c>
      <c r="Y45">
        <f t="shared" si="33"/>
        <v>0.0526128019254956</v>
      </c>
      <c r="Z45">
        <f t="shared" si="34"/>
        <v>0.0766392733599744</v>
      </c>
      <c r="AA45">
        <f t="shared" si="35"/>
        <v>0.334029846349842</v>
      </c>
      <c r="AB45">
        <f t="shared" si="36"/>
        <v>0.012661209392915</v>
      </c>
      <c r="AC45">
        <f t="shared" si="37"/>
        <v>4.245461782253</v>
      </c>
    </row>
    <row r="46" spans="1:29">
      <c r="A46" s="17" t="s">
        <v>38</v>
      </c>
      <c r="B46" s="17" t="s">
        <v>30</v>
      </c>
      <c r="C46" s="17" t="s">
        <v>31</v>
      </c>
      <c r="D46" s="17">
        <v>744</v>
      </c>
      <c r="E46" s="17">
        <v>186</v>
      </c>
      <c r="F46" s="17">
        <v>81</v>
      </c>
      <c r="G46" s="17">
        <v>536</v>
      </c>
      <c r="H46" s="17">
        <v>22</v>
      </c>
      <c r="I46" s="17">
        <v>105</v>
      </c>
      <c r="J46" s="17">
        <v>0.698028673835125</v>
      </c>
      <c r="K46">
        <f t="shared" si="19"/>
        <v>0.829301075268817</v>
      </c>
      <c r="L46">
        <f t="shared" si="20"/>
        <v>0.786407766990291</v>
      </c>
      <c r="M46" s="18">
        <f t="shared" si="21"/>
        <v>0.435483870967742</v>
      </c>
      <c r="N46">
        <f t="shared" si="22"/>
        <v>0.836193447737909</v>
      </c>
      <c r="O46">
        <f t="shared" si="23"/>
        <v>0.836193447737909</v>
      </c>
      <c r="P46">
        <f t="shared" si="24"/>
        <v>0.564516129032258</v>
      </c>
      <c r="Q46">
        <f t="shared" si="25"/>
        <v>0.039426523297491</v>
      </c>
      <c r="R46">
        <f t="shared" si="26"/>
        <v>0.213592233009709</v>
      </c>
      <c r="S46">
        <f t="shared" si="27"/>
        <v>0.16380655226209</v>
      </c>
      <c r="T46">
        <f t="shared" si="28"/>
        <v>11.0454545454545</v>
      </c>
      <c r="U46">
        <f t="shared" si="29"/>
        <v>0.675102311025518</v>
      </c>
      <c r="V46">
        <f t="shared" si="30"/>
        <v>0.231295681636759</v>
      </c>
      <c r="W46">
        <f t="shared" si="31"/>
        <v>0.389423076923077</v>
      </c>
      <c r="X46">
        <f t="shared" si="32"/>
        <v>0.560553633217993</v>
      </c>
      <c r="Y46">
        <f t="shared" si="33"/>
        <v>0.49657404861866</v>
      </c>
      <c r="Z46">
        <f t="shared" si="34"/>
        <v>0.585207568754908</v>
      </c>
      <c r="AA46">
        <f t="shared" si="35"/>
        <v>0.271677318705651</v>
      </c>
      <c r="AB46">
        <f t="shared" si="36"/>
        <v>0.622601214728201</v>
      </c>
      <c r="AC46">
        <f t="shared" si="37"/>
        <v>16.3611564722329</v>
      </c>
    </row>
    <row r="47" spans="1:29">
      <c r="A47" s="17" t="s">
        <v>38</v>
      </c>
      <c r="B47" s="17" t="s">
        <v>32</v>
      </c>
      <c r="C47" s="17" t="s">
        <v>31</v>
      </c>
      <c r="D47" s="17">
        <v>744</v>
      </c>
      <c r="E47" s="17">
        <v>186</v>
      </c>
      <c r="F47" s="17">
        <v>17</v>
      </c>
      <c r="G47" s="17">
        <v>9429</v>
      </c>
      <c r="H47" s="17">
        <v>481</v>
      </c>
      <c r="I47" s="17">
        <v>45</v>
      </c>
      <c r="J47" s="17">
        <v>0.612828358451873</v>
      </c>
      <c r="K47">
        <f t="shared" si="19"/>
        <v>0.947252306458083</v>
      </c>
      <c r="L47">
        <f t="shared" si="20"/>
        <v>0.034136546184739</v>
      </c>
      <c r="M47" s="18">
        <f t="shared" si="21"/>
        <v>0.274193548387097</v>
      </c>
      <c r="N47">
        <f t="shared" si="22"/>
        <v>0.995250158328056</v>
      </c>
      <c r="O47">
        <f t="shared" si="23"/>
        <v>0.995250158328056</v>
      </c>
      <c r="P47">
        <f t="shared" si="24"/>
        <v>0.725806451612903</v>
      </c>
      <c r="Q47">
        <f t="shared" si="25"/>
        <v>0.0485368314833502</v>
      </c>
      <c r="R47">
        <f t="shared" si="26"/>
        <v>0.965863453815261</v>
      </c>
      <c r="S47">
        <f t="shared" si="27"/>
        <v>0.00474984167194427</v>
      </c>
      <c r="T47">
        <f t="shared" si="28"/>
        <v>5.6491851653142</v>
      </c>
      <c r="U47">
        <f t="shared" si="29"/>
        <v>0.729270370408383</v>
      </c>
      <c r="V47">
        <f t="shared" si="30"/>
        <v>0.296138228076628</v>
      </c>
      <c r="W47">
        <f t="shared" si="31"/>
        <v>0.0313075506445672</v>
      </c>
      <c r="X47">
        <f t="shared" si="32"/>
        <v>0.0607142857142857</v>
      </c>
      <c r="Y47">
        <f t="shared" si="33"/>
        <v>0.0814328389593398</v>
      </c>
      <c r="Z47">
        <f t="shared" si="34"/>
        <v>0.0967472001045694</v>
      </c>
      <c r="AA47">
        <f t="shared" si="35"/>
        <v>0.269443706715152</v>
      </c>
      <c r="AB47">
        <f t="shared" si="36"/>
        <v>0.0293867045127947</v>
      </c>
      <c r="AC47">
        <f t="shared" si="37"/>
        <v>7.74635223716921</v>
      </c>
    </row>
    <row r="48" spans="1:29">
      <c r="A48" s="17" t="s">
        <v>39</v>
      </c>
      <c r="B48" s="17" t="s">
        <v>30</v>
      </c>
      <c r="C48" s="17" t="s">
        <v>31</v>
      </c>
      <c r="D48" s="17">
        <v>744</v>
      </c>
      <c r="E48" s="17">
        <v>186</v>
      </c>
      <c r="F48" s="17">
        <v>178</v>
      </c>
      <c r="G48" s="17">
        <v>550</v>
      </c>
      <c r="H48" s="17">
        <v>8</v>
      </c>
      <c r="I48" s="17">
        <v>8</v>
      </c>
      <c r="J48" s="17">
        <v>0.971326164874551</v>
      </c>
      <c r="K48">
        <f t="shared" si="19"/>
        <v>0.978494623655914</v>
      </c>
      <c r="L48">
        <f t="shared" si="20"/>
        <v>0.956989247311828</v>
      </c>
      <c r="M48" s="18">
        <f t="shared" si="21"/>
        <v>0.956989247311828</v>
      </c>
      <c r="N48">
        <f t="shared" si="22"/>
        <v>0.985663082437276</v>
      </c>
      <c r="O48">
        <f t="shared" si="23"/>
        <v>0.985663082437276</v>
      </c>
      <c r="P48">
        <f t="shared" si="24"/>
        <v>0.043010752688172</v>
      </c>
      <c r="Q48">
        <f t="shared" si="25"/>
        <v>0.014336917562724</v>
      </c>
      <c r="R48">
        <f t="shared" si="26"/>
        <v>0.043010752688172</v>
      </c>
      <c r="S48">
        <f t="shared" si="27"/>
        <v>0.014336917562724</v>
      </c>
      <c r="T48">
        <f t="shared" si="28"/>
        <v>66.75</v>
      </c>
      <c r="U48">
        <f t="shared" si="29"/>
        <v>0.0436363636363636</v>
      </c>
      <c r="V48">
        <f t="shared" si="30"/>
        <v>0.109050453523712</v>
      </c>
      <c r="W48">
        <f t="shared" si="31"/>
        <v>0.917525773195876</v>
      </c>
      <c r="X48">
        <f t="shared" si="32"/>
        <v>0.956989247311828</v>
      </c>
      <c r="Y48">
        <f t="shared" si="33"/>
        <v>0.942652329749104</v>
      </c>
      <c r="Z48">
        <f t="shared" si="34"/>
        <v>0.956989247311828</v>
      </c>
      <c r="AA48">
        <f t="shared" si="35"/>
        <v>0.942652329749104</v>
      </c>
      <c r="AB48">
        <f t="shared" si="36"/>
        <v>0.942652329749104</v>
      </c>
      <c r="AC48">
        <f t="shared" si="37"/>
        <v>1529.6875</v>
      </c>
    </row>
    <row r="49" spans="1:29">
      <c r="A49" s="17" t="s">
        <v>39</v>
      </c>
      <c r="B49" s="17" t="s">
        <v>32</v>
      </c>
      <c r="C49" s="17" t="s">
        <v>31</v>
      </c>
      <c r="D49" s="17">
        <v>744</v>
      </c>
      <c r="E49" s="17">
        <v>186</v>
      </c>
      <c r="F49" s="17">
        <v>33</v>
      </c>
      <c r="G49" s="17">
        <v>8791</v>
      </c>
      <c r="H49" s="17">
        <v>1119</v>
      </c>
      <c r="I49" s="17">
        <v>29</v>
      </c>
      <c r="J49" s="17">
        <v>0.709670909150092</v>
      </c>
      <c r="K49">
        <f t="shared" si="19"/>
        <v>0.884877657440834</v>
      </c>
      <c r="L49">
        <f t="shared" si="20"/>
        <v>0.0286458333333333</v>
      </c>
      <c r="M49" s="18">
        <f t="shared" si="21"/>
        <v>0.532258064516129</v>
      </c>
      <c r="N49">
        <f t="shared" si="22"/>
        <v>0.99671201814059</v>
      </c>
      <c r="O49">
        <f t="shared" si="23"/>
        <v>0.99671201814059</v>
      </c>
      <c r="P49">
        <f t="shared" si="24"/>
        <v>0.467741935483871</v>
      </c>
      <c r="Q49">
        <f t="shared" si="25"/>
        <v>0.112916246215943</v>
      </c>
      <c r="R49">
        <f t="shared" si="26"/>
        <v>0.971354166666667</v>
      </c>
      <c r="S49">
        <f t="shared" si="27"/>
        <v>0.00328798185941043</v>
      </c>
      <c r="T49">
        <f t="shared" si="28"/>
        <v>4.71374210844936</v>
      </c>
      <c r="U49">
        <f t="shared" si="29"/>
        <v>0.469284935839807</v>
      </c>
      <c r="V49">
        <f t="shared" si="30"/>
        <v>0.315346454418665</v>
      </c>
      <c r="W49">
        <f t="shared" si="31"/>
        <v>0.0279424216765453</v>
      </c>
      <c r="X49">
        <f t="shared" si="32"/>
        <v>0.0543657331136738</v>
      </c>
      <c r="Y49">
        <f t="shared" si="33"/>
        <v>0.103119384915063</v>
      </c>
      <c r="Z49">
        <f t="shared" si="34"/>
        <v>0.123478645143408</v>
      </c>
      <c r="AA49">
        <f t="shared" si="35"/>
        <v>0.528970082656719</v>
      </c>
      <c r="AB49">
        <f t="shared" si="36"/>
        <v>0.0253578514739228</v>
      </c>
      <c r="AC49">
        <f t="shared" si="37"/>
        <v>10.0445203935939</v>
      </c>
    </row>
    <row r="50" spans="1:29">
      <c r="A50" s="17" t="s">
        <v>29</v>
      </c>
      <c r="B50" s="17" t="s">
        <v>30</v>
      </c>
      <c r="C50" s="17" t="s">
        <v>31</v>
      </c>
      <c r="D50" s="17">
        <v>744</v>
      </c>
      <c r="E50" s="17">
        <v>186</v>
      </c>
      <c r="F50" s="17">
        <v>65</v>
      </c>
      <c r="G50" s="17">
        <v>521</v>
      </c>
      <c r="H50" s="17">
        <v>37</v>
      </c>
      <c r="I50" s="17">
        <v>121</v>
      </c>
      <c r="J50" s="17">
        <v>0.641577060931899</v>
      </c>
      <c r="K50">
        <f t="shared" si="19"/>
        <v>0.787634408602151</v>
      </c>
      <c r="L50">
        <f t="shared" si="20"/>
        <v>0.637254901960784</v>
      </c>
      <c r="M50" s="18">
        <f t="shared" si="21"/>
        <v>0.349462365591398</v>
      </c>
      <c r="N50">
        <f t="shared" si="22"/>
        <v>0.811526479750779</v>
      </c>
      <c r="O50">
        <f t="shared" si="23"/>
        <v>0.811526479750779</v>
      </c>
      <c r="P50">
        <f t="shared" si="24"/>
        <v>0.650537634408602</v>
      </c>
      <c r="Q50">
        <f t="shared" si="25"/>
        <v>0.0663082437275986</v>
      </c>
      <c r="R50">
        <f t="shared" si="26"/>
        <v>0.362745098039216</v>
      </c>
      <c r="S50">
        <f t="shared" si="27"/>
        <v>0.188473520249221</v>
      </c>
      <c r="T50">
        <f t="shared" si="28"/>
        <v>5.27027027027027</v>
      </c>
      <c r="U50">
        <f t="shared" si="29"/>
        <v>0.801622190576435</v>
      </c>
      <c r="V50">
        <f t="shared" si="30"/>
        <v>0.303425038622327</v>
      </c>
      <c r="W50">
        <f t="shared" si="31"/>
        <v>0.291479820627803</v>
      </c>
      <c r="X50">
        <f t="shared" si="32"/>
        <v>0.451388888888889</v>
      </c>
      <c r="Y50">
        <f t="shared" si="33"/>
        <v>0.356474821056635</v>
      </c>
      <c r="Z50">
        <f t="shared" si="34"/>
        <v>0.471907412024785</v>
      </c>
      <c r="AA50">
        <f t="shared" si="35"/>
        <v>0.160988845342177</v>
      </c>
      <c r="AB50">
        <f t="shared" si="36"/>
        <v>0.448781381711563</v>
      </c>
      <c r="AC50">
        <f t="shared" si="37"/>
        <v>6.57450645980807</v>
      </c>
    </row>
    <row r="51" spans="1:29">
      <c r="A51" s="17" t="s">
        <v>29</v>
      </c>
      <c r="B51" s="17" t="s">
        <v>32</v>
      </c>
      <c r="C51" s="17" t="s">
        <v>31</v>
      </c>
      <c r="D51" s="17">
        <v>744</v>
      </c>
      <c r="E51" s="17">
        <v>186</v>
      </c>
      <c r="F51" s="17">
        <v>21</v>
      </c>
      <c r="G51" s="17">
        <v>9312</v>
      </c>
      <c r="H51" s="17">
        <v>598</v>
      </c>
      <c r="I51" s="17">
        <v>41</v>
      </c>
      <c r="J51" s="17">
        <v>0.639183294814621</v>
      </c>
      <c r="K51">
        <f t="shared" si="19"/>
        <v>0.935920577617328</v>
      </c>
      <c r="L51">
        <f t="shared" si="20"/>
        <v>0.0339256865912763</v>
      </c>
      <c r="M51" s="18">
        <f t="shared" si="21"/>
        <v>0.338709677419355</v>
      </c>
      <c r="N51">
        <f t="shared" si="22"/>
        <v>0.995616379771196</v>
      </c>
      <c r="O51">
        <f t="shared" si="23"/>
        <v>0.995616379771196</v>
      </c>
      <c r="P51">
        <f t="shared" si="24"/>
        <v>0.661290322580645</v>
      </c>
      <c r="Q51">
        <f t="shared" si="25"/>
        <v>0.060343087790111</v>
      </c>
      <c r="R51">
        <f t="shared" si="26"/>
        <v>0.966074313408724</v>
      </c>
      <c r="S51">
        <f t="shared" si="27"/>
        <v>0.00438362022880359</v>
      </c>
      <c r="T51">
        <f t="shared" si="28"/>
        <v>5.61306505556155</v>
      </c>
      <c r="U51">
        <f t="shared" si="29"/>
        <v>0.664201931604035</v>
      </c>
      <c r="V51">
        <f t="shared" si="30"/>
        <v>0.296807173832802</v>
      </c>
      <c r="W51">
        <f t="shared" si="31"/>
        <v>0.0318181818181818</v>
      </c>
      <c r="X51">
        <f t="shared" si="32"/>
        <v>0.0616740088105727</v>
      </c>
      <c r="Y51">
        <f t="shared" si="33"/>
        <v>0.0906836493747485</v>
      </c>
      <c r="Z51">
        <f t="shared" si="34"/>
        <v>0.107195887801544</v>
      </c>
      <c r="AA51">
        <f t="shared" si="35"/>
        <v>0.334326057190551</v>
      </c>
      <c r="AB51">
        <f t="shared" si="36"/>
        <v>0.0295420663624726</v>
      </c>
      <c r="AC51">
        <f t="shared" si="37"/>
        <v>8.45084121030197</v>
      </c>
    </row>
    <row r="52" spans="1:29">
      <c r="A52" s="17" t="s">
        <v>33</v>
      </c>
      <c r="B52" s="17" t="s">
        <v>30</v>
      </c>
      <c r="C52" s="17" t="s">
        <v>31</v>
      </c>
      <c r="D52" s="17">
        <v>744</v>
      </c>
      <c r="E52" s="17">
        <v>186</v>
      </c>
      <c r="F52" s="17">
        <v>55</v>
      </c>
      <c r="G52" s="17">
        <v>525</v>
      </c>
      <c r="H52" s="17">
        <v>33</v>
      </c>
      <c r="I52" s="17">
        <v>131</v>
      </c>
      <c r="J52" s="17">
        <v>0.618279569892473</v>
      </c>
      <c r="K52">
        <f t="shared" si="19"/>
        <v>0.779569892473118</v>
      </c>
      <c r="L52">
        <f t="shared" si="20"/>
        <v>0.625</v>
      </c>
      <c r="M52" s="18">
        <f t="shared" si="21"/>
        <v>0.295698924731183</v>
      </c>
      <c r="N52">
        <f t="shared" si="22"/>
        <v>0.80030487804878</v>
      </c>
      <c r="O52">
        <f t="shared" si="23"/>
        <v>0.80030487804878</v>
      </c>
      <c r="P52">
        <f t="shared" si="24"/>
        <v>0.704301075268817</v>
      </c>
      <c r="Q52">
        <f t="shared" si="25"/>
        <v>0.0591397849462366</v>
      </c>
      <c r="R52">
        <f t="shared" si="26"/>
        <v>0.375</v>
      </c>
      <c r="S52">
        <f t="shared" si="27"/>
        <v>0.19969512195122</v>
      </c>
      <c r="T52">
        <f t="shared" si="28"/>
        <v>5</v>
      </c>
      <c r="U52">
        <f t="shared" si="29"/>
        <v>0.880040962621608</v>
      </c>
      <c r="V52">
        <f t="shared" si="30"/>
        <v>0.309016994374947</v>
      </c>
      <c r="W52">
        <f t="shared" si="31"/>
        <v>0.251141552511416</v>
      </c>
      <c r="X52">
        <f t="shared" si="32"/>
        <v>0.401459854014599</v>
      </c>
      <c r="Y52">
        <f t="shared" si="33"/>
        <v>0.317190409844877</v>
      </c>
      <c r="Z52">
        <f t="shared" si="34"/>
        <v>0.429897462142997</v>
      </c>
      <c r="AA52">
        <f t="shared" si="35"/>
        <v>0.0960038027799632</v>
      </c>
      <c r="AB52">
        <f t="shared" si="36"/>
        <v>0.42530487804878</v>
      </c>
      <c r="AC52">
        <f t="shared" si="37"/>
        <v>5.68155371439211</v>
      </c>
    </row>
    <row r="53" spans="1:29">
      <c r="A53" s="17" t="s">
        <v>33</v>
      </c>
      <c r="B53" s="17" t="s">
        <v>32</v>
      </c>
      <c r="C53" s="17" t="s">
        <v>31</v>
      </c>
      <c r="D53" s="17">
        <v>744</v>
      </c>
      <c r="E53" s="17">
        <v>186</v>
      </c>
      <c r="F53" s="17">
        <v>16</v>
      </c>
      <c r="G53" s="17">
        <v>9418</v>
      </c>
      <c r="H53" s="17">
        <v>492</v>
      </c>
      <c r="I53" s="17">
        <v>46</v>
      </c>
      <c r="J53" s="17">
        <v>0.604208847368249</v>
      </c>
      <c r="K53">
        <f t="shared" si="19"/>
        <v>0.946048937023666</v>
      </c>
      <c r="L53">
        <f t="shared" si="20"/>
        <v>0.031496062992126</v>
      </c>
      <c r="M53" s="18">
        <f t="shared" si="21"/>
        <v>0.258064516129032</v>
      </c>
      <c r="N53">
        <f t="shared" si="22"/>
        <v>0.995139475908707</v>
      </c>
      <c r="O53">
        <f t="shared" si="23"/>
        <v>0.995139475908707</v>
      </c>
      <c r="P53">
        <f t="shared" si="24"/>
        <v>0.741935483870968</v>
      </c>
      <c r="Q53">
        <f t="shared" si="25"/>
        <v>0.0496468213925328</v>
      </c>
      <c r="R53">
        <f t="shared" si="26"/>
        <v>0.968503937007874</v>
      </c>
      <c r="S53">
        <f t="shared" si="27"/>
        <v>0.00486052409129332</v>
      </c>
      <c r="T53">
        <f t="shared" si="28"/>
        <v>5.19800681877787</v>
      </c>
      <c r="U53">
        <f t="shared" si="29"/>
        <v>0.745559292774988</v>
      </c>
      <c r="V53">
        <f t="shared" si="30"/>
        <v>0.304886063712955</v>
      </c>
      <c r="W53">
        <f t="shared" si="31"/>
        <v>0.0288808664259928</v>
      </c>
      <c r="X53">
        <f t="shared" si="32"/>
        <v>0.056140350877193</v>
      </c>
      <c r="Y53">
        <f t="shared" si="33"/>
        <v>0.0745071648620178</v>
      </c>
      <c r="Z53">
        <f t="shared" si="34"/>
        <v>0.0901555115122337</v>
      </c>
      <c r="AA53">
        <f t="shared" si="35"/>
        <v>0.253203992037739</v>
      </c>
      <c r="AB53">
        <f t="shared" si="36"/>
        <v>0.0266355389008326</v>
      </c>
      <c r="AC53">
        <f t="shared" si="37"/>
        <v>6.97195631407231</v>
      </c>
    </row>
    <row r="54" spans="1:29">
      <c r="A54" s="17" t="s">
        <v>34</v>
      </c>
      <c r="B54" s="17" t="s">
        <v>30</v>
      </c>
      <c r="C54" s="17" t="s">
        <v>31</v>
      </c>
      <c r="D54" s="17">
        <v>744</v>
      </c>
      <c r="E54" s="17">
        <v>186</v>
      </c>
      <c r="F54" s="17">
        <v>186</v>
      </c>
      <c r="G54" s="17">
        <v>558</v>
      </c>
      <c r="H54" s="17">
        <v>0</v>
      </c>
      <c r="I54" s="17">
        <v>0</v>
      </c>
      <c r="J54" s="17">
        <v>1</v>
      </c>
      <c r="K54">
        <f t="shared" si="19"/>
        <v>1</v>
      </c>
      <c r="L54">
        <f t="shared" si="20"/>
        <v>1</v>
      </c>
      <c r="M54" s="18">
        <f t="shared" si="21"/>
        <v>1</v>
      </c>
      <c r="N54">
        <f t="shared" si="22"/>
        <v>1</v>
      </c>
      <c r="O54">
        <f t="shared" si="23"/>
        <v>1</v>
      </c>
      <c r="P54">
        <f t="shared" si="24"/>
        <v>0</v>
      </c>
      <c r="Q54">
        <f t="shared" si="25"/>
        <v>0</v>
      </c>
      <c r="R54">
        <f t="shared" si="26"/>
        <v>0</v>
      </c>
      <c r="S54">
        <f t="shared" si="27"/>
        <v>0</v>
      </c>
      <c r="T54">
        <f t="shared" si="28"/>
        <v>0</v>
      </c>
      <c r="U54">
        <f t="shared" si="29"/>
        <v>0</v>
      </c>
      <c r="V54">
        <f t="shared" si="30"/>
        <v>0</v>
      </c>
      <c r="W54">
        <f t="shared" si="31"/>
        <v>1</v>
      </c>
      <c r="X54">
        <f t="shared" si="32"/>
        <v>1</v>
      </c>
      <c r="Y54">
        <f t="shared" si="33"/>
        <v>1</v>
      </c>
      <c r="Z54">
        <f t="shared" si="34"/>
        <v>1</v>
      </c>
      <c r="AA54">
        <f t="shared" si="35"/>
        <v>1</v>
      </c>
      <c r="AB54">
        <f t="shared" si="36"/>
        <v>1</v>
      </c>
      <c r="AC54">
        <f t="shared" si="37"/>
        <v>0</v>
      </c>
    </row>
    <row r="55" spans="1:29">
      <c r="A55" s="17" t="s">
        <v>34</v>
      </c>
      <c r="B55" s="17" t="s">
        <v>32</v>
      </c>
      <c r="C55" s="17" t="s">
        <v>31</v>
      </c>
      <c r="D55" s="17">
        <v>744</v>
      </c>
      <c r="E55" s="17">
        <v>186</v>
      </c>
      <c r="F55" s="17">
        <v>36</v>
      </c>
      <c r="G55" s="17">
        <v>7986</v>
      </c>
      <c r="H55" s="17">
        <v>1924</v>
      </c>
      <c r="I55" s="17">
        <v>26</v>
      </c>
      <c r="J55" s="17">
        <v>0.693248917678461</v>
      </c>
      <c r="K55">
        <f t="shared" si="19"/>
        <v>0.804452466907341</v>
      </c>
      <c r="L55">
        <f t="shared" si="20"/>
        <v>0.0183673469387755</v>
      </c>
      <c r="M55" s="18">
        <f t="shared" si="21"/>
        <v>0.580645161290323</v>
      </c>
      <c r="N55">
        <f t="shared" si="22"/>
        <v>0.996754867698452</v>
      </c>
      <c r="O55">
        <f t="shared" si="23"/>
        <v>0.996754867698452</v>
      </c>
      <c r="P55">
        <f t="shared" si="24"/>
        <v>0.419354838709677</v>
      </c>
      <c r="Q55">
        <f t="shared" si="25"/>
        <v>0.194147325933401</v>
      </c>
      <c r="R55">
        <f t="shared" si="26"/>
        <v>0.981632653061224</v>
      </c>
      <c r="S55">
        <f t="shared" si="27"/>
        <v>0.00324513230154768</v>
      </c>
      <c r="T55">
        <f t="shared" si="28"/>
        <v>2.99074508751928</v>
      </c>
      <c r="U55">
        <f t="shared" si="29"/>
        <v>0.420720131197337</v>
      </c>
      <c r="V55">
        <f t="shared" si="30"/>
        <v>0.366383966159434</v>
      </c>
      <c r="W55">
        <f t="shared" si="31"/>
        <v>0.0181268882175227</v>
      </c>
      <c r="X55">
        <f t="shared" si="32"/>
        <v>0.0356083086053412</v>
      </c>
      <c r="Y55">
        <f t="shared" si="33"/>
        <v>0.0764506587485766</v>
      </c>
      <c r="Z55">
        <f t="shared" si="34"/>
        <v>0.103271056573178</v>
      </c>
      <c r="AA55">
        <f t="shared" si="35"/>
        <v>0.577400028988775</v>
      </c>
      <c r="AB55">
        <f t="shared" si="36"/>
        <v>0.0151222146372278</v>
      </c>
      <c r="AC55">
        <f t="shared" si="37"/>
        <v>7.10863318807172</v>
      </c>
    </row>
    <row r="56" spans="1:29">
      <c r="A56" s="17" t="s">
        <v>35</v>
      </c>
      <c r="B56" s="17" t="s">
        <v>30</v>
      </c>
      <c r="C56" s="17" t="s">
        <v>31</v>
      </c>
      <c r="D56" s="17">
        <v>744</v>
      </c>
      <c r="E56" s="17">
        <v>186</v>
      </c>
      <c r="F56" s="17">
        <v>186</v>
      </c>
      <c r="G56" s="17">
        <v>558</v>
      </c>
      <c r="H56" s="17">
        <v>0</v>
      </c>
      <c r="I56" s="17">
        <v>0</v>
      </c>
      <c r="J56" s="17">
        <v>1</v>
      </c>
      <c r="K56">
        <f t="shared" si="19"/>
        <v>1</v>
      </c>
      <c r="L56">
        <f t="shared" si="20"/>
        <v>1</v>
      </c>
      <c r="M56" s="18">
        <f t="shared" si="21"/>
        <v>1</v>
      </c>
      <c r="N56">
        <f t="shared" si="22"/>
        <v>1</v>
      </c>
      <c r="O56">
        <f t="shared" si="23"/>
        <v>1</v>
      </c>
      <c r="P56">
        <f t="shared" si="24"/>
        <v>0</v>
      </c>
      <c r="Q56">
        <f t="shared" si="25"/>
        <v>0</v>
      </c>
      <c r="R56">
        <f t="shared" si="26"/>
        <v>0</v>
      </c>
      <c r="S56">
        <f t="shared" si="27"/>
        <v>0</v>
      </c>
      <c r="T56">
        <f t="shared" si="28"/>
        <v>0</v>
      </c>
      <c r="U56">
        <f t="shared" si="29"/>
        <v>0</v>
      </c>
      <c r="V56">
        <f t="shared" si="30"/>
        <v>0</v>
      </c>
      <c r="W56">
        <f t="shared" si="31"/>
        <v>1</v>
      </c>
      <c r="X56">
        <f t="shared" si="32"/>
        <v>1</v>
      </c>
      <c r="Y56">
        <f t="shared" si="33"/>
        <v>1</v>
      </c>
      <c r="Z56">
        <f t="shared" si="34"/>
        <v>1</v>
      </c>
      <c r="AA56">
        <f t="shared" si="35"/>
        <v>1</v>
      </c>
      <c r="AB56">
        <f t="shared" si="36"/>
        <v>1</v>
      </c>
      <c r="AC56">
        <f t="shared" si="37"/>
        <v>0</v>
      </c>
    </row>
    <row r="57" spans="1:29">
      <c r="A57" s="17" t="s">
        <v>35</v>
      </c>
      <c r="B57" s="17" t="s">
        <v>32</v>
      </c>
      <c r="C57" s="17" t="s">
        <v>31</v>
      </c>
      <c r="D57" s="17">
        <v>744</v>
      </c>
      <c r="E57" s="17">
        <v>186</v>
      </c>
      <c r="F57" s="17">
        <v>28</v>
      </c>
      <c r="G57" s="17">
        <v>9239</v>
      </c>
      <c r="H57" s="17">
        <v>671</v>
      </c>
      <c r="I57" s="17">
        <v>34</v>
      </c>
      <c r="J57" s="17">
        <v>0.691951759382832</v>
      </c>
      <c r="K57">
        <f t="shared" si="19"/>
        <v>0.929302045728039</v>
      </c>
      <c r="L57">
        <f t="shared" si="20"/>
        <v>0.0400572246065808</v>
      </c>
      <c r="M57" s="18">
        <f t="shared" si="21"/>
        <v>0.451612903225806</v>
      </c>
      <c r="N57">
        <f t="shared" si="22"/>
        <v>0.996333441173299</v>
      </c>
      <c r="O57">
        <f t="shared" si="23"/>
        <v>0.996333441173299</v>
      </c>
      <c r="P57">
        <f t="shared" si="24"/>
        <v>0.548387096774194</v>
      </c>
      <c r="Q57">
        <f t="shared" si="25"/>
        <v>0.0677093844601413</v>
      </c>
      <c r="R57">
        <f t="shared" si="26"/>
        <v>0.959942775393419</v>
      </c>
      <c r="S57">
        <f t="shared" si="27"/>
        <v>0.00366655882670118</v>
      </c>
      <c r="T57">
        <f t="shared" si="28"/>
        <v>6.6698716407865</v>
      </c>
      <c r="U57">
        <f t="shared" si="29"/>
        <v>0.550405189781047</v>
      </c>
      <c r="V57">
        <f t="shared" si="30"/>
        <v>0.279126153770727</v>
      </c>
      <c r="W57">
        <f t="shared" si="31"/>
        <v>0.0381991814461119</v>
      </c>
      <c r="X57">
        <f t="shared" si="32"/>
        <v>0.0735873850197109</v>
      </c>
      <c r="Y57">
        <f t="shared" si="33"/>
        <v>0.118196889312372</v>
      </c>
      <c r="Z57">
        <f t="shared" si="34"/>
        <v>0.134500407061637</v>
      </c>
      <c r="AA57">
        <f t="shared" si="35"/>
        <v>0.447946344399105</v>
      </c>
      <c r="AB57">
        <f t="shared" si="36"/>
        <v>0.0363906657798796</v>
      </c>
      <c r="AC57">
        <f t="shared" si="37"/>
        <v>12.11811182856</v>
      </c>
    </row>
    <row r="58" spans="1:29">
      <c r="A58" s="17" t="s">
        <v>36</v>
      </c>
      <c r="B58" s="17" t="s">
        <v>30</v>
      </c>
      <c r="C58" s="17" t="s">
        <v>31</v>
      </c>
      <c r="D58" s="17">
        <v>744</v>
      </c>
      <c r="E58" s="17">
        <v>186</v>
      </c>
      <c r="F58" s="17">
        <v>114</v>
      </c>
      <c r="G58" s="17">
        <v>520</v>
      </c>
      <c r="H58" s="17">
        <v>38</v>
      </c>
      <c r="I58" s="17">
        <v>72</v>
      </c>
      <c r="J58" s="17">
        <v>0.772401433691756</v>
      </c>
      <c r="K58">
        <f t="shared" si="19"/>
        <v>0.852150537634409</v>
      </c>
      <c r="L58">
        <f t="shared" si="20"/>
        <v>0.75</v>
      </c>
      <c r="M58" s="18">
        <f t="shared" si="21"/>
        <v>0.612903225806452</v>
      </c>
      <c r="N58">
        <f t="shared" si="22"/>
        <v>0.878378378378378</v>
      </c>
      <c r="O58">
        <f t="shared" si="23"/>
        <v>0.878378378378378</v>
      </c>
      <c r="P58">
        <f t="shared" si="24"/>
        <v>0.387096774193548</v>
      </c>
      <c r="Q58">
        <f t="shared" si="25"/>
        <v>0.0681003584229391</v>
      </c>
      <c r="R58">
        <f t="shared" si="26"/>
        <v>0.25</v>
      </c>
      <c r="S58">
        <f t="shared" si="27"/>
        <v>0.121621621621622</v>
      </c>
      <c r="T58">
        <f t="shared" si="28"/>
        <v>9</v>
      </c>
      <c r="U58">
        <f t="shared" si="29"/>
        <v>0.440694789081886</v>
      </c>
      <c r="V58">
        <f t="shared" si="30"/>
        <v>0.25</v>
      </c>
      <c r="W58">
        <f t="shared" si="31"/>
        <v>0.508928571428571</v>
      </c>
      <c r="X58">
        <f t="shared" si="32"/>
        <v>0.674556213017751</v>
      </c>
      <c r="Y58">
        <f t="shared" si="33"/>
        <v>0.585100284004667</v>
      </c>
      <c r="Z58">
        <f t="shared" si="34"/>
        <v>0.677995146999474</v>
      </c>
      <c r="AA58">
        <f t="shared" si="35"/>
        <v>0.49128160418483</v>
      </c>
      <c r="AB58">
        <f t="shared" si="36"/>
        <v>0.628378378378379</v>
      </c>
      <c r="AC58">
        <f t="shared" si="37"/>
        <v>20.4222972972973</v>
      </c>
    </row>
    <row r="59" spans="1:29">
      <c r="A59" s="17" t="s">
        <v>36</v>
      </c>
      <c r="B59" s="17" t="s">
        <v>32</v>
      </c>
      <c r="C59" s="17" t="s">
        <v>31</v>
      </c>
      <c r="D59" s="17">
        <v>744</v>
      </c>
      <c r="E59" s="17">
        <v>186</v>
      </c>
      <c r="F59" s="17">
        <v>30</v>
      </c>
      <c r="G59" s="17">
        <v>8826</v>
      </c>
      <c r="H59" s="17">
        <v>1084</v>
      </c>
      <c r="I59" s="17">
        <v>32</v>
      </c>
      <c r="J59" s="17">
        <v>0.687243253800332</v>
      </c>
      <c r="K59">
        <f t="shared" si="19"/>
        <v>0.888086642599278</v>
      </c>
      <c r="L59">
        <f t="shared" si="20"/>
        <v>0.0269299820466786</v>
      </c>
      <c r="M59" s="18">
        <f t="shared" si="21"/>
        <v>0.483870967741935</v>
      </c>
      <c r="N59">
        <f t="shared" si="22"/>
        <v>0.996387446376157</v>
      </c>
      <c r="O59">
        <f t="shared" si="23"/>
        <v>0.996387446376157</v>
      </c>
      <c r="P59">
        <f t="shared" si="24"/>
        <v>0.516129032258065</v>
      </c>
      <c r="Q59">
        <f t="shared" si="25"/>
        <v>0.109384460141271</v>
      </c>
      <c r="R59">
        <f t="shared" si="26"/>
        <v>0.973070017953321</v>
      </c>
      <c r="S59">
        <f t="shared" si="27"/>
        <v>0.00361255362384285</v>
      </c>
      <c r="T59">
        <f t="shared" si="28"/>
        <v>4.42358052612784</v>
      </c>
      <c r="U59">
        <f t="shared" si="29"/>
        <v>0.518000336249936</v>
      </c>
      <c r="V59">
        <f t="shared" si="30"/>
        <v>0.322244785732826</v>
      </c>
      <c r="W59">
        <f t="shared" si="31"/>
        <v>0.0261780104712042</v>
      </c>
      <c r="X59">
        <f t="shared" si="32"/>
        <v>0.0510204081632653</v>
      </c>
      <c r="Y59">
        <f t="shared" si="33"/>
        <v>0.0934455046339642</v>
      </c>
      <c r="Z59">
        <f t="shared" si="34"/>
        <v>0.114151813276002</v>
      </c>
      <c r="AA59">
        <f t="shared" si="35"/>
        <v>0.480258414118093</v>
      </c>
      <c r="AB59">
        <f t="shared" si="36"/>
        <v>0.0233174284228359</v>
      </c>
      <c r="AC59">
        <f t="shared" si="37"/>
        <v>8.5397252020189</v>
      </c>
    </row>
    <row r="60" spans="1:29">
      <c r="A60" s="17" t="s">
        <v>37</v>
      </c>
      <c r="B60" s="17" t="s">
        <v>30</v>
      </c>
      <c r="C60" s="17" t="s">
        <v>31</v>
      </c>
      <c r="D60" s="17">
        <v>744</v>
      </c>
      <c r="E60" s="17">
        <v>186</v>
      </c>
      <c r="F60" s="17">
        <v>94</v>
      </c>
      <c r="G60" s="17">
        <v>491</v>
      </c>
      <c r="H60" s="17">
        <v>67</v>
      </c>
      <c r="I60" s="17">
        <v>92</v>
      </c>
      <c r="J60" s="17">
        <v>0.692652329749104</v>
      </c>
      <c r="K60">
        <f t="shared" si="19"/>
        <v>0.786290322580645</v>
      </c>
      <c r="L60">
        <f t="shared" si="20"/>
        <v>0.583850931677019</v>
      </c>
      <c r="M60" s="18">
        <f t="shared" si="21"/>
        <v>0.505376344086022</v>
      </c>
      <c r="N60">
        <f t="shared" si="22"/>
        <v>0.842195540308748</v>
      </c>
      <c r="O60">
        <f t="shared" si="23"/>
        <v>0.842195540308748</v>
      </c>
      <c r="P60">
        <f t="shared" si="24"/>
        <v>0.494623655913978</v>
      </c>
      <c r="Q60">
        <f t="shared" si="25"/>
        <v>0.120071684587814</v>
      </c>
      <c r="R60">
        <f t="shared" si="26"/>
        <v>0.416149068322981</v>
      </c>
      <c r="S60">
        <f t="shared" si="27"/>
        <v>0.157804459691252</v>
      </c>
      <c r="T60">
        <f t="shared" si="28"/>
        <v>4.2089552238806</v>
      </c>
      <c r="U60">
        <f t="shared" si="29"/>
        <v>0.587302630138186</v>
      </c>
      <c r="V60">
        <f t="shared" si="30"/>
        <v>0.327699755011575</v>
      </c>
      <c r="W60">
        <f t="shared" si="31"/>
        <v>0.371541501976285</v>
      </c>
      <c r="X60">
        <f t="shared" si="32"/>
        <v>0.54178674351585</v>
      </c>
      <c r="Y60">
        <f t="shared" si="33"/>
        <v>0.405163782708781</v>
      </c>
      <c r="Z60">
        <f t="shared" si="34"/>
        <v>0.543198351748373</v>
      </c>
      <c r="AA60">
        <f t="shared" si="35"/>
        <v>0.347571884394769</v>
      </c>
      <c r="AB60">
        <f t="shared" si="36"/>
        <v>0.426046471985766</v>
      </c>
      <c r="AC60">
        <f t="shared" si="37"/>
        <v>7.16658670997314</v>
      </c>
    </row>
    <row r="61" spans="1:29">
      <c r="A61" s="17" t="s">
        <v>37</v>
      </c>
      <c r="B61" s="17" t="s">
        <v>32</v>
      </c>
      <c r="C61" s="17" t="s">
        <v>31</v>
      </c>
      <c r="D61" s="17">
        <v>744</v>
      </c>
      <c r="E61" s="17">
        <v>186</v>
      </c>
      <c r="F61" s="17">
        <v>29</v>
      </c>
      <c r="G61" s="17">
        <v>8792</v>
      </c>
      <c r="H61" s="17">
        <v>1118</v>
      </c>
      <c r="I61" s="17">
        <v>33</v>
      </c>
      <c r="J61" s="17">
        <v>0.677463298720744</v>
      </c>
      <c r="K61">
        <f t="shared" si="19"/>
        <v>0.88457681508223</v>
      </c>
      <c r="L61">
        <f t="shared" si="20"/>
        <v>0.025283347863993</v>
      </c>
      <c r="M61" s="18">
        <f t="shared" si="21"/>
        <v>0.467741935483871</v>
      </c>
      <c r="N61">
        <f t="shared" si="22"/>
        <v>0.996260623229462</v>
      </c>
      <c r="O61">
        <f t="shared" si="23"/>
        <v>0.996260623229462</v>
      </c>
      <c r="P61">
        <f t="shared" si="24"/>
        <v>0.532258064516129</v>
      </c>
      <c r="Q61">
        <f t="shared" si="25"/>
        <v>0.112815338042381</v>
      </c>
      <c r="R61">
        <f t="shared" si="26"/>
        <v>0.974716652136007</v>
      </c>
      <c r="S61">
        <f t="shared" si="27"/>
        <v>0.00373937677053824</v>
      </c>
      <c r="T61">
        <f t="shared" si="28"/>
        <v>4.1460845980726</v>
      </c>
      <c r="U61">
        <f t="shared" si="29"/>
        <v>0.534255848425255</v>
      </c>
      <c r="V61">
        <f t="shared" si="30"/>
        <v>0.329359755614614</v>
      </c>
      <c r="W61">
        <f t="shared" si="31"/>
        <v>0.0245762711864407</v>
      </c>
      <c r="X61">
        <f t="shared" si="32"/>
        <v>0.0479735318444996</v>
      </c>
      <c r="Y61">
        <f t="shared" si="33"/>
        <v>0.0874444301003655</v>
      </c>
      <c r="Z61">
        <f t="shared" si="34"/>
        <v>0.108747791082928</v>
      </c>
      <c r="AA61">
        <f t="shared" si="35"/>
        <v>0.464002558713333</v>
      </c>
      <c r="AB61">
        <f t="shared" si="36"/>
        <v>0.0215439710934549</v>
      </c>
      <c r="AC61">
        <f t="shared" si="37"/>
        <v>7.76048518756207</v>
      </c>
    </row>
    <row r="62" spans="1:29">
      <c r="A62" s="17" t="s">
        <v>38</v>
      </c>
      <c r="B62" s="17" t="s">
        <v>30</v>
      </c>
      <c r="C62" s="17" t="s">
        <v>31</v>
      </c>
      <c r="D62" s="17">
        <v>744</v>
      </c>
      <c r="E62" s="17">
        <v>186</v>
      </c>
      <c r="F62" s="17">
        <v>78</v>
      </c>
      <c r="G62" s="17">
        <v>544</v>
      </c>
      <c r="H62" s="17">
        <v>14</v>
      </c>
      <c r="I62" s="17">
        <v>108</v>
      </c>
      <c r="J62" s="17">
        <v>0.697132616487455</v>
      </c>
      <c r="K62">
        <f t="shared" si="19"/>
        <v>0.836021505376344</v>
      </c>
      <c r="L62">
        <f t="shared" si="20"/>
        <v>0.847826086956522</v>
      </c>
      <c r="M62" s="18">
        <f t="shared" si="21"/>
        <v>0.419354838709677</v>
      </c>
      <c r="N62">
        <f t="shared" si="22"/>
        <v>0.834355828220859</v>
      </c>
      <c r="O62">
        <f t="shared" si="23"/>
        <v>0.834355828220859</v>
      </c>
      <c r="P62">
        <f t="shared" si="24"/>
        <v>0.580645161290323</v>
      </c>
      <c r="Q62">
        <f t="shared" si="25"/>
        <v>0.025089605734767</v>
      </c>
      <c r="R62">
        <f t="shared" si="26"/>
        <v>0.152173913043478</v>
      </c>
      <c r="S62">
        <f t="shared" si="27"/>
        <v>0.165644171779141</v>
      </c>
      <c r="T62">
        <f t="shared" si="28"/>
        <v>16.7142857142857</v>
      </c>
      <c r="U62">
        <f t="shared" si="29"/>
        <v>0.695920303605313</v>
      </c>
      <c r="V62">
        <f t="shared" si="30"/>
        <v>0.196528873113712</v>
      </c>
      <c r="W62">
        <f t="shared" si="31"/>
        <v>0.39</v>
      </c>
      <c r="X62">
        <f t="shared" si="32"/>
        <v>0.561151079136691</v>
      </c>
      <c r="Y62">
        <f t="shared" si="33"/>
        <v>0.51861412603079</v>
      </c>
      <c r="Z62">
        <f t="shared" si="34"/>
        <v>0.59627172660584</v>
      </c>
      <c r="AA62">
        <f t="shared" si="35"/>
        <v>0.253710666930536</v>
      </c>
      <c r="AB62">
        <f t="shared" si="36"/>
        <v>0.68218191517738</v>
      </c>
      <c r="AC62">
        <f t="shared" si="37"/>
        <v>24.0175284837862</v>
      </c>
    </row>
    <row r="63" spans="1:29">
      <c r="A63" s="17" t="s">
        <v>38</v>
      </c>
      <c r="B63" s="17" t="s">
        <v>32</v>
      </c>
      <c r="C63" s="17" t="s">
        <v>31</v>
      </c>
      <c r="D63" s="17">
        <v>744</v>
      </c>
      <c r="E63" s="17">
        <v>186</v>
      </c>
      <c r="F63" s="17">
        <v>24</v>
      </c>
      <c r="G63" s="17">
        <v>9433</v>
      </c>
      <c r="H63" s="17">
        <v>477</v>
      </c>
      <c r="I63" s="17">
        <v>38</v>
      </c>
      <c r="J63" s="17">
        <v>0.669481787702223</v>
      </c>
      <c r="K63">
        <f t="shared" si="19"/>
        <v>0.948355395106298</v>
      </c>
      <c r="L63">
        <f t="shared" si="20"/>
        <v>0.0479041916167665</v>
      </c>
      <c r="M63" s="18">
        <f t="shared" si="21"/>
        <v>0.387096774193548</v>
      </c>
      <c r="N63">
        <f t="shared" si="22"/>
        <v>0.995987752085313</v>
      </c>
      <c r="O63">
        <f t="shared" si="23"/>
        <v>0.995987752085313</v>
      </c>
      <c r="P63">
        <f t="shared" si="24"/>
        <v>0.612903225806452</v>
      </c>
      <c r="Q63">
        <f t="shared" si="25"/>
        <v>0.0481331987891019</v>
      </c>
      <c r="R63">
        <f t="shared" si="26"/>
        <v>0.952095808383233</v>
      </c>
      <c r="S63">
        <f t="shared" si="27"/>
        <v>0.00401224791468694</v>
      </c>
      <c r="T63">
        <f t="shared" si="28"/>
        <v>8.04219922905255</v>
      </c>
      <c r="U63">
        <f t="shared" si="29"/>
        <v>0.615372251840655</v>
      </c>
      <c r="V63">
        <f t="shared" si="30"/>
        <v>0.260696565613242</v>
      </c>
      <c r="W63">
        <f t="shared" si="31"/>
        <v>0.0445269016697588</v>
      </c>
      <c r="X63">
        <f t="shared" si="32"/>
        <v>0.0852575488454707</v>
      </c>
      <c r="Y63">
        <f t="shared" si="33"/>
        <v>0.121974465232308</v>
      </c>
      <c r="Z63">
        <f t="shared" si="34"/>
        <v>0.136174733505155</v>
      </c>
      <c r="AA63">
        <f t="shared" si="35"/>
        <v>0.383084526278862</v>
      </c>
      <c r="AB63">
        <f t="shared" si="36"/>
        <v>0.0438919437020795</v>
      </c>
      <c r="AC63">
        <f t="shared" si="37"/>
        <v>13.0688363100503</v>
      </c>
    </row>
    <row r="64" spans="1:29">
      <c r="A64" s="17" t="s">
        <v>39</v>
      </c>
      <c r="B64" s="17" t="s">
        <v>30</v>
      </c>
      <c r="C64" s="17" t="s">
        <v>31</v>
      </c>
      <c r="D64" s="17">
        <v>744</v>
      </c>
      <c r="E64" s="17">
        <v>186</v>
      </c>
      <c r="F64" s="17">
        <v>186</v>
      </c>
      <c r="G64" s="17">
        <v>557</v>
      </c>
      <c r="H64" s="17">
        <v>1</v>
      </c>
      <c r="I64" s="17">
        <v>0</v>
      </c>
      <c r="J64" s="17">
        <v>0.999103942652329</v>
      </c>
      <c r="K64">
        <f t="shared" si="19"/>
        <v>0.998655913978495</v>
      </c>
      <c r="L64">
        <f t="shared" si="20"/>
        <v>0.994652406417112</v>
      </c>
      <c r="M64" s="18">
        <f t="shared" si="21"/>
        <v>1</v>
      </c>
      <c r="N64">
        <f t="shared" si="22"/>
        <v>1</v>
      </c>
      <c r="O64">
        <f t="shared" si="23"/>
        <v>1</v>
      </c>
      <c r="P64">
        <f t="shared" si="24"/>
        <v>0</v>
      </c>
      <c r="Q64">
        <f t="shared" si="25"/>
        <v>0.0017921146953405</v>
      </c>
      <c r="R64">
        <f t="shared" si="26"/>
        <v>0.0053475935828877</v>
      </c>
      <c r="S64">
        <f t="shared" si="27"/>
        <v>0</v>
      </c>
      <c r="T64">
        <f t="shared" si="28"/>
        <v>558</v>
      </c>
      <c r="U64">
        <f t="shared" si="29"/>
        <v>0</v>
      </c>
      <c r="V64">
        <f t="shared" si="30"/>
        <v>0.0406140460000636</v>
      </c>
      <c r="W64">
        <f t="shared" si="31"/>
        <v>0.994652406417112</v>
      </c>
      <c r="X64">
        <f t="shared" si="32"/>
        <v>0.997319034852547</v>
      </c>
      <c r="Y64">
        <f t="shared" si="33"/>
        <v>0.996428560019642</v>
      </c>
      <c r="Z64">
        <f t="shared" si="34"/>
        <v>0.997322619024111</v>
      </c>
      <c r="AA64">
        <f t="shared" si="35"/>
        <v>1</v>
      </c>
      <c r="AB64">
        <f t="shared" si="36"/>
        <v>0.994652406417112</v>
      </c>
      <c r="AC64">
        <f t="shared" si="37"/>
        <v>0</v>
      </c>
    </row>
    <row r="65" spans="1:29">
      <c r="A65" s="17" t="s">
        <v>39</v>
      </c>
      <c r="B65" s="17" t="s">
        <v>32</v>
      </c>
      <c r="C65" s="17" t="s">
        <v>31</v>
      </c>
      <c r="D65" s="17">
        <v>744</v>
      </c>
      <c r="E65" s="17">
        <v>186</v>
      </c>
      <c r="F65" s="17">
        <v>44</v>
      </c>
      <c r="G65" s="17">
        <v>8781</v>
      </c>
      <c r="H65" s="17">
        <v>1129</v>
      </c>
      <c r="I65" s="17">
        <v>18</v>
      </c>
      <c r="J65" s="17">
        <v>0.797876045701637</v>
      </c>
      <c r="K65">
        <f t="shared" si="19"/>
        <v>0.884977938227036</v>
      </c>
      <c r="L65">
        <f t="shared" si="20"/>
        <v>0.0375106564364876</v>
      </c>
      <c r="M65" s="18">
        <f t="shared" si="21"/>
        <v>0.709677419354839</v>
      </c>
      <c r="N65">
        <f t="shared" si="22"/>
        <v>0.997954312990113</v>
      </c>
      <c r="O65">
        <f t="shared" si="23"/>
        <v>0.997954312990113</v>
      </c>
      <c r="P65">
        <f t="shared" si="24"/>
        <v>0.290322580645161</v>
      </c>
      <c r="Q65">
        <f t="shared" si="25"/>
        <v>0.113925327951564</v>
      </c>
      <c r="R65">
        <f t="shared" si="26"/>
        <v>0.962489343563512</v>
      </c>
      <c r="S65">
        <f t="shared" si="27"/>
        <v>0.00204568700988749</v>
      </c>
      <c r="T65">
        <f t="shared" si="28"/>
        <v>6.22932083773822</v>
      </c>
      <c r="U65">
        <f t="shared" si="29"/>
        <v>0.290917707219767</v>
      </c>
      <c r="V65">
        <f t="shared" si="30"/>
        <v>0.286052584507585</v>
      </c>
      <c r="W65">
        <f t="shared" si="31"/>
        <v>0.036943744752309</v>
      </c>
      <c r="X65">
        <f t="shared" si="32"/>
        <v>0.0712550607287449</v>
      </c>
      <c r="Y65">
        <f t="shared" si="33"/>
        <v>0.14535587262801</v>
      </c>
      <c r="Z65">
        <f t="shared" si="34"/>
        <v>0.163157794353051</v>
      </c>
      <c r="AA65">
        <f t="shared" si="35"/>
        <v>0.707631732344951</v>
      </c>
      <c r="AB65">
        <f t="shared" si="36"/>
        <v>0.0354649694266</v>
      </c>
      <c r="AC65">
        <f t="shared" si="37"/>
        <v>21.4126561675135</v>
      </c>
    </row>
    <row r="66" spans="1:29">
      <c r="A66" t="s">
        <v>29</v>
      </c>
      <c r="B66" t="s">
        <v>30</v>
      </c>
      <c r="C66" t="s">
        <v>40</v>
      </c>
      <c r="D66">
        <v>8037</v>
      </c>
      <c r="E66">
        <v>186</v>
      </c>
      <c r="F66">
        <v>16</v>
      </c>
      <c r="G66">
        <v>7755</v>
      </c>
      <c r="H66">
        <v>96</v>
      </c>
      <c r="I66">
        <v>170</v>
      </c>
      <c r="J66">
        <v>0.536896881843693</v>
      </c>
      <c r="K66">
        <f t="shared" si="19"/>
        <v>0.966903073286052</v>
      </c>
      <c r="L66">
        <f t="shared" si="20"/>
        <v>0.142857142857143</v>
      </c>
      <c r="M66" s="18">
        <f t="shared" si="21"/>
        <v>0.0860215053763441</v>
      </c>
      <c r="N66">
        <f t="shared" si="22"/>
        <v>0.978548895899054</v>
      </c>
      <c r="O66">
        <f t="shared" si="23"/>
        <v>0.978548895899054</v>
      </c>
      <c r="P66">
        <f t="shared" si="24"/>
        <v>0.913978494623656</v>
      </c>
      <c r="Q66">
        <f t="shared" si="25"/>
        <v>0.0122277416889568</v>
      </c>
      <c r="R66">
        <f t="shared" si="26"/>
        <v>0.857142857142857</v>
      </c>
      <c r="S66">
        <f t="shared" si="27"/>
        <v>0.0214511041009464</v>
      </c>
      <c r="T66">
        <f t="shared" si="28"/>
        <v>7.03494623655914</v>
      </c>
      <c r="U66">
        <f t="shared" si="29"/>
        <v>0.9340141289352</v>
      </c>
      <c r="V66">
        <f t="shared" si="30"/>
        <v>0.273796524800258</v>
      </c>
      <c r="W66">
        <f t="shared" si="31"/>
        <v>0.0567375886524823</v>
      </c>
      <c r="X66">
        <f t="shared" si="32"/>
        <v>0.10738255033557</v>
      </c>
      <c r="Y66">
        <f t="shared" si="33"/>
        <v>0.0946520392500687</v>
      </c>
      <c r="Z66">
        <f t="shared" si="34"/>
        <v>0.110854799094739</v>
      </c>
      <c r="AA66">
        <f t="shared" si="35"/>
        <v>0.0645704012753976</v>
      </c>
      <c r="AB66">
        <f t="shared" si="36"/>
        <v>0.121406038756196</v>
      </c>
      <c r="AC66">
        <f t="shared" si="37"/>
        <v>7.53194841343477</v>
      </c>
    </row>
    <row r="67" spans="1:29">
      <c r="A67" t="s">
        <v>29</v>
      </c>
      <c r="B67" t="s">
        <v>32</v>
      </c>
      <c r="C67" t="s">
        <v>40</v>
      </c>
      <c r="D67">
        <v>8037</v>
      </c>
      <c r="E67">
        <v>186</v>
      </c>
      <c r="F67">
        <v>1</v>
      </c>
      <c r="G67">
        <v>2589</v>
      </c>
      <c r="H67">
        <v>28</v>
      </c>
      <c r="I67">
        <v>61</v>
      </c>
      <c r="J67">
        <v>0.502714879140113</v>
      </c>
      <c r="K67">
        <f t="shared" ref="K67:K98" si="38">(F67+G67)/(I67+H67+G67+F67)</f>
        <v>0.966778648749533</v>
      </c>
      <c r="L67">
        <f t="shared" ref="L67:L98" si="39">IF(F67=0,0,F67/(H67+F67))</f>
        <v>0.0344827586206897</v>
      </c>
      <c r="M67" s="18">
        <f t="shared" ref="M67:M98" si="40">IF(F67=0,0,F67/(F67+I67))</f>
        <v>0.0161290322580645</v>
      </c>
      <c r="N67">
        <f t="shared" ref="N67:N98" si="41">IF(G67=0,0,G67/(I67+G67))</f>
        <v>0.976981132075472</v>
      </c>
      <c r="O67">
        <f t="shared" ref="O67:O98" si="42">G67/(I67+G67)</f>
        <v>0.976981132075472</v>
      </c>
      <c r="P67">
        <f t="shared" ref="P67:P98" si="43">I67/(I67+F67)</f>
        <v>0.983870967741935</v>
      </c>
      <c r="Q67">
        <f t="shared" ref="Q67:Q98" si="44">H67/(H67+G67)</f>
        <v>0.0106992739778372</v>
      </c>
      <c r="R67">
        <f t="shared" ref="R67:R98" si="45">IF(H67=0,0,H67/(H67+F67))</f>
        <v>0.96551724137931</v>
      </c>
      <c r="S67">
        <f t="shared" ref="S67:S98" si="46">I67/(I67+G67)</f>
        <v>0.0230188679245283</v>
      </c>
      <c r="T67">
        <f t="shared" ref="T67:T98" si="47">IF(Q67=0,0,M67/Q67)</f>
        <v>1.50748847926267</v>
      </c>
      <c r="U67">
        <f t="shared" ref="U67:U98" si="48">P67/N67</f>
        <v>1.00705216860414</v>
      </c>
      <c r="V67">
        <f t="shared" ref="V67:V98" si="49">IF(SQRT(Q67)=0,0,SQRT(Q67)/(SQRT(M67)+SQRT(Q67)))</f>
        <v>0.44887368575528</v>
      </c>
      <c r="W67">
        <f t="shared" ref="W67:W98" si="50">F67/(F67+I67+H67)</f>
        <v>0.0111111111111111</v>
      </c>
      <c r="X67">
        <f t="shared" ref="X67:X98" si="51">(2*F67)/(H67+I67+(2*F67))</f>
        <v>0.021978021978022</v>
      </c>
      <c r="Y67">
        <f t="shared" ref="Y67:Y98" si="52">((F67*G67)-(H67*I67))/SQRT((F67+H67)*(F67+I67)*(G67+I67)*(G67+H67))</f>
        <v>0.00788962327561353</v>
      </c>
      <c r="Z67">
        <f t="shared" ref="Z67:Z98" si="53">SQRT(L67*M67)</f>
        <v>0.0235833315318289</v>
      </c>
      <c r="AA67">
        <f t="shared" ref="AA67:AA98" si="54">M67+N67-1</f>
        <v>-0.00688983566646384</v>
      </c>
      <c r="AB67">
        <f t="shared" ref="AB67:AB98" si="55">L67+O67-1</f>
        <v>0.0114638906961613</v>
      </c>
      <c r="AC67">
        <f t="shared" ref="AC67:AC98" si="56">IF(U67=0,0,T67/U67)</f>
        <v>1.49693186337325</v>
      </c>
    </row>
    <row r="68" spans="1:29">
      <c r="A68" t="s">
        <v>33</v>
      </c>
      <c r="B68" t="s">
        <v>30</v>
      </c>
      <c r="C68" t="s">
        <v>40</v>
      </c>
      <c r="D68">
        <v>8037</v>
      </c>
      <c r="E68">
        <v>186</v>
      </c>
      <c r="F68">
        <v>1</v>
      </c>
      <c r="G68">
        <v>7851</v>
      </c>
      <c r="H68">
        <v>0</v>
      </c>
      <c r="I68">
        <v>185</v>
      </c>
      <c r="J68">
        <v>0.50268817204301</v>
      </c>
      <c r="K68">
        <f t="shared" si="38"/>
        <v>0.976981460744059</v>
      </c>
      <c r="L68">
        <f t="shared" si="39"/>
        <v>1</v>
      </c>
      <c r="M68" s="18">
        <f t="shared" si="40"/>
        <v>0.00537634408602151</v>
      </c>
      <c r="N68">
        <f t="shared" si="41"/>
        <v>0.976978596316575</v>
      </c>
      <c r="O68">
        <f t="shared" si="42"/>
        <v>0.976978596316575</v>
      </c>
      <c r="P68">
        <f t="shared" si="43"/>
        <v>0.994623655913978</v>
      </c>
      <c r="Q68">
        <f t="shared" si="44"/>
        <v>0</v>
      </c>
      <c r="R68">
        <f t="shared" si="45"/>
        <v>0</v>
      </c>
      <c r="S68">
        <f t="shared" si="46"/>
        <v>0.0230214036834246</v>
      </c>
      <c r="T68">
        <f t="shared" si="47"/>
        <v>0</v>
      </c>
      <c r="U68">
        <f t="shared" si="48"/>
        <v>1.01806084561517</v>
      </c>
      <c r="V68">
        <f t="shared" si="49"/>
        <v>0</v>
      </c>
      <c r="W68">
        <f t="shared" si="50"/>
        <v>0.00537634408602151</v>
      </c>
      <c r="X68">
        <f t="shared" si="51"/>
        <v>0.0106951871657754</v>
      </c>
      <c r="Y68">
        <f t="shared" si="52"/>
        <v>0.0724746376222483</v>
      </c>
      <c r="Z68">
        <f t="shared" si="53"/>
        <v>0.0733235575106767</v>
      </c>
      <c r="AA68">
        <f t="shared" si="54"/>
        <v>-0.017645059597403</v>
      </c>
      <c r="AB68">
        <f t="shared" si="55"/>
        <v>0.976978596316576</v>
      </c>
      <c r="AC68">
        <f t="shared" si="56"/>
        <v>0</v>
      </c>
    </row>
    <row r="69" spans="1:29">
      <c r="A69" t="s">
        <v>33</v>
      </c>
      <c r="B69" t="s">
        <v>32</v>
      </c>
      <c r="C69" t="s">
        <v>40</v>
      </c>
      <c r="D69">
        <v>8037</v>
      </c>
      <c r="E69">
        <v>186</v>
      </c>
      <c r="F69">
        <v>0</v>
      </c>
      <c r="G69">
        <v>2616</v>
      </c>
      <c r="H69">
        <v>1</v>
      </c>
      <c r="I69">
        <v>62</v>
      </c>
      <c r="J69">
        <v>0.49980894153611</v>
      </c>
      <c r="K69">
        <f t="shared" si="38"/>
        <v>0.976483762597984</v>
      </c>
      <c r="L69">
        <f t="shared" si="39"/>
        <v>0</v>
      </c>
      <c r="M69" s="18">
        <f t="shared" si="40"/>
        <v>0</v>
      </c>
      <c r="N69">
        <f t="shared" si="41"/>
        <v>0.976848394324123</v>
      </c>
      <c r="O69">
        <f t="shared" si="42"/>
        <v>0.976848394324123</v>
      </c>
      <c r="P69">
        <f t="shared" si="43"/>
        <v>1</v>
      </c>
      <c r="Q69">
        <f t="shared" si="44"/>
        <v>0.000382116927779901</v>
      </c>
      <c r="R69">
        <f t="shared" si="45"/>
        <v>1</v>
      </c>
      <c r="S69">
        <f t="shared" si="46"/>
        <v>0.0231516056758775</v>
      </c>
      <c r="T69">
        <f t="shared" si="47"/>
        <v>0</v>
      </c>
      <c r="U69">
        <f t="shared" si="48"/>
        <v>1.0237003058104</v>
      </c>
      <c r="V69">
        <f t="shared" si="49"/>
        <v>1</v>
      </c>
      <c r="W69">
        <f t="shared" si="50"/>
        <v>0</v>
      </c>
      <c r="X69">
        <f t="shared" si="51"/>
        <v>0</v>
      </c>
      <c r="Y69">
        <f t="shared" si="52"/>
        <v>-0.00297432688755591</v>
      </c>
      <c r="Z69">
        <f t="shared" si="53"/>
        <v>0</v>
      </c>
      <c r="AA69">
        <f t="shared" si="54"/>
        <v>-0.0231516056758775</v>
      </c>
      <c r="AB69">
        <f t="shared" si="55"/>
        <v>-0.0231516056758775</v>
      </c>
      <c r="AC69">
        <f t="shared" si="56"/>
        <v>0</v>
      </c>
    </row>
    <row r="70" spans="1:29">
      <c r="A70" t="s">
        <v>34</v>
      </c>
      <c r="B70" t="s">
        <v>30</v>
      </c>
      <c r="C70" t="s">
        <v>40</v>
      </c>
      <c r="D70">
        <v>8037</v>
      </c>
      <c r="E70">
        <v>186</v>
      </c>
      <c r="F70">
        <v>186</v>
      </c>
      <c r="G70">
        <v>7851</v>
      </c>
      <c r="H70">
        <v>0</v>
      </c>
      <c r="I70">
        <v>0</v>
      </c>
      <c r="J70">
        <v>1</v>
      </c>
      <c r="K70">
        <f t="shared" si="38"/>
        <v>1</v>
      </c>
      <c r="L70">
        <f t="shared" si="39"/>
        <v>1</v>
      </c>
      <c r="M70" s="18">
        <f t="shared" si="40"/>
        <v>1</v>
      </c>
      <c r="N70">
        <f t="shared" si="41"/>
        <v>1</v>
      </c>
      <c r="O70">
        <f t="shared" si="42"/>
        <v>1</v>
      </c>
      <c r="P70">
        <f t="shared" si="43"/>
        <v>0</v>
      </c>
      <c r="Q70">
        <f t="shared" si="44"/>
        <v>0</v>
      </c>
      <c r="R70">
        <f t="shared" si="45"/>
        <v>0</v>
      </c>
      <c r="S70">
        <f t="shared" si="46"/>
        <v>0</v>
      </c>
      <c r="T70">
        <f t="shared" si="47"/>
        <v>0</v>
      </c>
      <c r="U70">
        <f t="shared" si="48"/>
        <v>0</v>
      </c>
      <c r="V70">
        <f t="shared" si="49"/>
        <v>0</v>
      </c>
      <c r="W70">
        <f t="shared" si="50"/>
        <v>1</v>
      </c>
      <c r="X70">
        <f t="shared" si="51"/>
        <v>1</v>
      </c>
      <c r="Y70">
        <f t="shared" si="52"/>
        <v>1</v>
      </c>
      <c r="Z70">
        <f t="shared" si="53"/>
        <v>1</v>
      </c>
      <c r="AA70">
        <f t="shared" si="54"/>
        <v>1</v>
      </c>
      <c r="AB70">
        <f t="shared" si="55"/>
        <v>1</v>
      </c>
      <c r="AC70">
        <f t="shared" si="56"/>
        <v>0</v>
      </c>
    </row>
    <row r="71" spans="1:29">
      <c r="A71" t="s">
        <v>34</v>
      </c>
      <c r="B71" t="s">
        <v>32</v>
      </c>
      <c r="C71" t="s">
        <v>40</v>
      </c>
      <c r="D71">
        <v>8037</v>
      </c>
      <c r="E71">
        <v>186</v>
      </c>
      <c r="F71">
        <v>7</v>
      </c>
      <c r="G71">
        <v>2561</v>
      </c>
      <c r="H71">
        <v>56</v>
      </c>
      <c r="I71">
        <v>55</v>
      </c>
      <c r="J71">
        <v>0.545752338925388</v>
      </c>
      <c r="K71">
        <f t="shared" si="38"/>
        <v>0.958566629339306</v>
      </c>
      <c r="L71">
        <f t="shared" si="39"/>
        <v>0.111111111111111</v>
      </c>
      <c r="M71" s="18">
        <f t="shared" si="40"/>
        <v>0.112903225806452</v>
      </c>
      <c r="N71">
        <f t="shared" si="41"/>
        <v>0.978975535168196</v>
      </c>
      <c r="O71">
        <f t="shared" si="42"/>
        <v>0.978975535168196</v>
      </c>
      <c r="P71">
        <f t="shared" si="43"/>
        <v>0.887096774193548</v>
      </c>
      <c r="Q71">
        <f t="shared" si="44"/>
        <v>0.0213985479556744</v>
      </c>
      <c r="R71">
        <f t="shared" si="45"/>
        <v>0.888888888888889</v>
      </c>
      <c r="S71">
        <f t="shared" si="46"/>
        <v>0.0210244648318043</v>
      </c>
      <c r="T71">
        <f t="shared" si="47"/>
        <v>5.27620967741935</v>
      </c>
      <c r="U71">
        <f t="shared" si="48"/>
        <v>0.906148052046202</v>
      </c>
      <c r="V71">
        <f t="shared" si="49"/>
        <v>0.303306022224835</v>
      </c>
      <c r="W71">
        <f t="shared" si="50"/>
        <v>0.0593220338983051</v>
      </c>
      <c r="X71">
        <f t="shared" si="51"/>
        <v>0.112</v>
      </c>
      <c r="Y71">
        <f t="shared" si="52"/>
        <v>0.0907928937001398</v>
      </c>
      <c r="Z71">
        <f t="shared" si="53"/>
        <v>0.112003584172041</v>
      </c>
      <c r="AA71">
        <f t="shared" si="54"/>
        <v>0.0918787609746472</v>
      </c>
      <c r="AB71">
        <f t="shared" si="55"/>
        <v>0.0900866462793068</v>
      </c>
      <c r="AC71">
        <f t="shared" si="56"/>
        <v>5.82267948985266</v>
      </c>
    </row>
    <row r="72" spans="1:29">
      <c r="A72" t="s">
        <v>35</v>
      </c>
      <c r="B72" t="s">
        <v>30</v>
      </c>
      <c r="C72" t="s">
        <v>40</v>
      </c>
      <c r="D72">
        <v>8037</v>
      </c>
      <c r="E72">
        <v>186</v>
      </c>
      <c r="F72">
        <v>186</v>
      </c>
      <c r="G72">
        <v>7851</v>
      </c>
      <c r="H72">
        <v>0</v>
      </c>
      <c r="I72">
        <v>0</v>
      </c>
      <c r="J72">
        <v>1</v>
      </c>
      <c r="K72">
        <f t="shared" si="38"/>
        <v>1</v>
      </c>
      <c r="L72">
        <f t="shared" si="39"/>
        <v>1</v>
      </c>
      <c r="M72" s="18">
        <f t="shared" si="40"/>
        <v>1</v>
      </c>
      <c r="N72">
        <f t="shared" si="41"/>
        <v>1</v>
      </c>
      <c r="O72">
        <f t="shared" si="42"/>
        <v>1</v>
      </c>
      <c r="P72">
        <f t="shared" si="43"/>
        <v>0</v>
      </c>
      <c r="Q72">
        <f t="shared" si="44"/>
        <v>0</v>
      </c>
      <c r="R72">
        <f t="shared" si="45"/>
        <v>0</v>
      </c>
      <c r="S72">
        <f t="shared" si="46"/>
        <v>0</v>
      </c>
      <c r="T72">
        <f t="shared" si="47"/>
        <v>0</v>
      </c>
      <c r="U72">
        <f t="shared" si="48"/>
        <v>0</v>
      </c>
      <c r="V72">
        <f t="shared" si="49"/>
        <v>0</v>
      </c>
      <c r="W72">
        <f t="shared" si="50"/>
        <v>1</v>
      </c>
      <c r="X72">
        <f t="shared" si="51"/>
        <v>1</v>
      </c>
      <c r="Y72">
        <f t="shared" si="52"/>
        <v>1</v>
      </c>
      <c r="Z72">
        <f t="shared" si="53"/>
        <v>1</v>
      </c>
      <c r="AA72">
        <f t="shared" si="54"/>
        <v>1</v>
      </c>
      <c r="AB72">
        <f t="shared" si="55"/>
        <v>1</v>
      </c>
      <c r="AC72">
        <f t="shared" si="56"/>
        <v>0</v>
      </c>
    </row>
    <row r="73" spans="1:29">
      <c r="A73" t="s">
        <v>35</v>
      </c>
      <c r="B73" t="s">
        <v>32</v>
      </c>
      <c r="C73" t="s">
        <v>40</v>
      </c>
      <c r="D73">
        <v>8037</v>
      </c>
      <c r="E73">
        <v>186</v>
      </c>
      <c r="F73">
        <v>1</v>
      </c>
      <c r="G73">
        <v>2616</v>
      </c>
      <c r="H73">
        <v>1</v>
      </c>
      <c r="I73">
        <v>61</v>
      </c>
      <c r="J73">
        <v>0.507873457665142</v>
      </c>
      <c r="K73">
        <f t="shared" si="38"/>
        <v>0.97685703620754</v>
      </c>
      <c r="L73">
        <f t="shared" si="39"/>
        <v>0.5</v>
      </c>
      <c r="M73" s="18">
        <f t="shared" si="40"/>
        <v>0.0161290322580645</v>
      </c>
      <c r="N73">
        <f t="shared" si="41"/>
        <v>0.977213298468435</v>
      </c>
      <c r="O73">
        <f t="shared" si="42"/>
        <v>0.977213298468435</v>
      </c>
      <c r="P73">
        <f t="shared" si="43"/>
        <v>0.983870967741935</v>
      </c>
      <c r="Q73">
        <f t="shared" si="44"/>
        <v>0.000382116927779901</v>
      </c>
      <c r="R73">
        <f t="shared" si="45"/>
        <v>0.5</v>
      </c>
      <c r="S73">
        <f t="shared" si="46"/>
        <v>0.0227867015315652</v>
      </c>
      <c r="T73">
        <f t="shared" si="47"/>
        <v>42.2096774193548</v>
      </c>
      <c r="U73">
        <f t="shared" si="48"/>
        <v>1.00681291309066</v>
      </c>
      <c r="V73">
        <f t="shared" si="49"/>
        <v>0.133388511311977</v>
      </c>
      <c r="W73">
        <f t="shared" si="50"/>
        <v>0.0158730158730159</v>
      </c>
      <c r="X73">
        <f t="shared" si="51"/>
        <v>0.03125</v>
      </c>
      <c r="Y73">
        <f t="shared" si="52"/>
        <v>0.0866870082853727</v>
      </c>
      <c r="Z73">
        <f t="shared" si="53"/>
        <v>0.0898026510133875</v>
      </c>
      <c r="AA73">
        <f t="shared" si="54"/>
        <v>-0.00665766927350064</v>
      </c>
      <c r="AB73">
        <f t="shared" si="55"/>
        <v>0.477213298468435</v>
      </c>
      <c r="AC73">
        <f t="shared" si="56"/>
        <v>41.9240524933097</v>
      </c>
    </row>
    <row r="74" spans="1:29">
      <c r="A74" t="s">
        <v>36</v>
      </c>
      <c r="B74" t="s">
        <v>30</v>
      </c>
      <c r="C74" t="s">
        <v>40</v>
      </c>
      <c r="D74">
        <v>8037</v>
      </c>
      <c r="E74">
        <v>186</v>
      </c>
      <c r="F74">
        <v>12</v>
      </c>
      <c r="G74">
        <v>7847</v>
      </c>
      <c r="H74">
        <v>4</v>
      </c>
      <c r="I74">
        <v>174</v>
      </c>
      <c r="J74">
        <v>0.532003319897609</v>
      </c>
      <c r="K74">
        <f t="shared" si="38"/>
        <v>0.977852432499689</v>
      </c>
      <c r="L74">
        <f t="shared" si="39"/>
        <v>0.75</v>
      </c>
      <c r="M74" s="18">
        <f t="shared" si="40"/>
        <v>0.0645161290322581</v>
      </c>
      <c r="N74">
        <f t="shared" si="41"/>
        <v>0.978306944271288</v>
      </c>
      <c r="O74">
        <f t="shared" si="42"/>
        <v>0.978306944271288</v>
      </c>
      <c r="P74">
        <f t="shared" si="43"/>
        <v>0.935483870967742</v>
      </c>
      <c r="Q74">
        <f t="shared" si="44"/>
        <v>0.000509489237039868</v>
      </c>
      <c r="R74">
        <f t="shared" si="45"/>
        <v>0.25</v>
      </c>
      <c r="S74">
        <f t="shared" si="46"/>
        <v>0.0216930557287121</v>
      </c>
      <c r="T74">
        <f t="shared" si="47"/>
        <v>126.629032258064</v>
      </c>
      <c r="U74">
        <f t="shared" si="48"/>
        <v>0.956227364474609</v>
      </c>
      <c r="V74">
        <f t="shared" si="49"/>
        <v>0.081612955353149</v>
      </c>
      <c r="W74">
        <f t="shared" si="50"/>
        <v>0.0631578947368421</v>
      </c>
      <c r="X74">
        <f t="shared" si="51"/>
        <v>0.118811881188119</v>
      </c>
      <c r="Y74">
        <f t="shared" si="52"/>
        <v>0.215908499699128</v>
      </c>
      <c r="Z74">
        <f t="shared" si="53"/>
        <v>0.21997067253203</v>
      </c>
      <c r="AA74">
        <f t="shared" si="54"/>
        <v>0.042823073303546</v>
      </c>
      <c r="AB74">
        <f t="shared" si="55"/>
        <v>0.728306944271288</v>
      </c>
      <c r="AC74">
        <f t="shared" si="56"/>
        <v>132.425652059895</v>
      </c>
    </row>
    <row r="75" spans="1:29">
      <c r="A75" t="s">
        <v>36</v>
      </c>
      <c r="B75" t="s">
        <v>32</v>
      </c>
      <c r="C75" t="s">
        <v>40</v>
      </c>
      <c r="D75">
        <v>8037</v>
      </c>
      <c r="E75">
        <v>186</v>
      </c>
      <c r="F75">
        <v>2</v>
      </c>
      <c r="G75">
        <v>2613</v>
      </c>
      <c r="H75">
        <v>4</v>
      </c>
      <c r="I75">
        <v>60</v>
      </c>
      <c r="J75">
        <v>0.515364798402504</v>
      </c>
      <c r="K75">
        <f t="shared" si="38"/>
        <v>0.976110488988429</v>
      </c>
      <c r="L75">
        <f t="shared" si="39"/>
        <v>0.333333333333333</v>
      </c>
      <c r="M75" s="18">
        <f t="shared" si="40"/>
        <v>0.032258064516129</v>
      </c>
      <c r="N75">
        <f t="shared" si="41"/>
        <v>0.977553310886644</v>
      </c>
      <c r="O75">
        <f t="shared" si="42"/>
        <v>0.977553310886644</v>
      </c>
      <c r="P75">
        <f t="shared" si="43"/>
        <v>0.967741935483871</v>
      </c>
      <c r="Q75">
        <f t="shared" si="44"/>
        <v>0.0015284677111196</v>
      </c>
      <c r="R75">
        <f t="shared" si="45"/>
        <v>0.666666666666667</v>
      </c>
      <c r="S75">
        <f t="shared" si="46"/>
        <v>0.0224466891133558</v>
      </c>
      <c r="T75">
        <f t="shared" si="47"/>
        <v>21.1048387096774</v>
      </c>
      <c r="U75">
        <f t="shared" si="48"/>
        <v>0.989963334691308</v>
      </c>
      <c r="V75">
        <f t="shared" si="49"/>
        <v>0.178762950890268</v>
      </c>
      <c r="W75">
        <f t="shared" si="50"/>
        <v>0.0303030303030303</v>
      </c>
      <c r="X75">
        <f t="shared" si="51"/>
        <v>0.0588235294117647</v>
      </c>
      <c r="Y75">
        <f t="shared" si="52"/>
        <v>0.0977416043910797</v>
      </c>
      <c r="Z75">
        <f t="shared" si="53"/>
        <v>0.103695169473043</v>
      </c>
      <c r="AA75">
        <f t="shared" si="54"/>
        <v>0.00981137540277333</v>
      </c>
      <c r="AB75">
        <f t="shared" si="55"/>
        <v>0.310886644219978</v>
      </c>
      <c r="AC75">
        <f t="shared" si="56"/>
        <v>21.3188084549196</v>
      </c>
    </row>
    <row r="76" spans="1:29">
      <c r="A76" t="s">
        <v>37</v>
      </c>
      <c r="B76" t="s">
        <v>30</v>
      </c>
      <c r="C76" t="s">
        <v>40</v>
      </c>
      <c r="D76">
        <v>8037</v>
      </c>
      <c r="E76">
        <v>186</v>
      </c>
      <c r="F76">
        <v>43</v>
      </c>
      <c r="G76">
        <v>7418</v>
      </c>
      <c r="H76">
        <v>433</v>
      </c>
      <c r="I76">
        <v>143</v>
      </c>
      <c r="J76">
        <v>0.588015292894679</v>
      </c>
      <c r="K76">
        <f t="shared" si="38"/>
        <v>0.928331466965286</v>
      </c>
      <c r="L76">
        <f t="shared" si="39"/>
        <v>0.0903361344537815</v>
      </c>
      <c r="M76" s="18">
        <f t="shared" si="40"/>
        <v>0.231182795698925</v>
      </c>
      <c r="N76">
        <f t="shared" si="41"/>
        <v>0.981087157783362</v>
      </c>
      <c r="O76">
        <f t="shared" si="42"/>
        <v>0.981087157783362</v>
      </c>
      <c r="P76">
        <f t="shared" si="43"/>
        <v>0.768817204301075</v>
      </c>
      <c r="Q76">
        <f t="shared" si="44"/>
        <v>0.0551522099095657</v>
      </c>
      <c r="R76">
        <f t="shared" si="45"/>
        <v>0.909663865546218</v>
      </c>
      <c r="S76">
        <f t="shared" si="46"/>
        <v>0.018912842216638</v>
      </c>
      <c r="T76">
        <f t="shared" si="47"/>
        <v>4.19172316173732</v>
      </c>
      <c r="U76">
        <f t="shared" si="48"/>
        <v>0.783638026654143</v>
      </c>
      <c r="V76">
        <f t="shared" si="49"/>
        <v>0.328151836015523</v>
      </c>
      <c r="W76">
        <f t="shared" si="50"/>
        <v>0.0694668820678514</v>
      </c>
      <c r="X76">
        <f t="shared" si="51"/>
        <v>0.129909365558912</v>
      </c>
      <c r="Y76">
        <f t="shared" si="52"/>
        <v>0.112127980323865</v>
      </c>
      <c r="Z76">
        <f t="shared" si="53"/>
        <v>0.144513529178618</v>
      </c>
      <c r="AA76">
        <f t="shared" si="54"/>
        <v>0.212269953482287</v>
      </c>
      <c r="AB76">
        <f t="shared" si="55"/>
        <v>0.0714232922371434</v>
      </c>
      <c r="AC76">
        <f t="shared" si="56"/>
        <v>5.34905532805049</v>
      </c>
    </row>
    <row r="77" spans="1:29">
      <c r="A77" t="s">
        <v>37</v>
      </c>
      <c r="B77" t="s">
        <v>32</v>
      </c>
      <c r="C77" t="s">
        <v>40</v>
      </c>
      <c r="D77">
        <v>8037</v>
      </c>
      <c r="E77">
        <v>186</v>
      </c>
      <c r="F77">
        <v>12</v>
      </c>
      <c r="G77">
        <v>2495</v>
      </c>
      <c r="H77">
        <v>122</v>
      </c>
      <c r="I77">
        <v>50</v>
      </c>
      <c r="J77">
        <v>0.573465060953813</v>
      </c>
      <c r="K77">
        <f t="shared" si="38"/>
        <v>0.935796939156402</v>
      </c>
      <c r="L77">
        <f t="shared" si="39"/>
        <v>0.0895522388059701</v>
      </c>
      <c r="M77" s="18">
        <f t="shared" si="40"/>
        <v>0.193548387096774</v>
      </c>
      <c r="N77">
        <f t="shared" si="41"/>
        <v>0.980353634577603</v>
      </c>
      <c r="O77">
        <f t="shared" si="42"/>
        <v>0.980353634577603</v>
      </c>
      <c r="P77">
        <f t="shared" si="43"/>
        <v>0.806451612903226</v>
      </c>
      <c r="Q77">
        <f t="shared" si="44"/>
        <v>0.0466182651891479</v>
      </c>
      <c r="R77">
        <f t="shared" si="45"/>
        <v>0.91044776119403</v>
      </c>
      <c r="S77">
        <f t="shared" si="46"/>
        <v>0.0196463654223969</v>
      </c>
      <c r="T77">
        <f t="shared" si="47"/>
        <v>4.15177154944474</v>
      </c>
      <c r="U77">
        <f t="shared" si="48"/>
        <v>0.822612967871226</v>
      </c>
      <c r="V77">
        <f t="shared" si="49"/>
        <v>0.329208391466813</v>
      </c>
      <c r="W77">
        <f t="shared" si="50"/>
        <v>0.0652173913043478</v>
      </c>
      <c r="X77">
        <f t="shared" si="51"/>
        <v>0.122448979591837</v>
      </c>
      <c r="Y77">
        <f t="shared" si="52"/>
        <v>0.101347316186999</v>
      </c>
      <c r="Z77">
        <f t="shared" si="53"/>
        <v>0.131653679712345</v>
      </c>
      <c r="AA77">
        <f t="shared" si="54"/>
        <v>0.173902021674377</v>
      </c>
      <c r="AB77">
        <f t="shared" si="55"/>
        <v>0.0699058733835733</v>
      </c>
      <c r="AC77">
        <f t="shared" si="56"/>
        <v>5.04705336725821</v>
      </c>
    </row>
    <row r="78" spans="1:29">
      <c r="A78" t="s">
        <v>38</v>
      </c>
      <c r="B78" t="s">
        <v>30</v>
      </c>
      <c r="C78" t="s">
        <v>40</v>
      </c>
      <c r="D78">
        <v>8037</v>
      </c>
      <c r="E78">
        <v>186</v>
      </c>
      <c r="F78">
        <v>0</v>
      </c>
      <c r="G78">
        <v>7851</v>
      </c>
      <c r="H78">
        <v>0</v>
      </c>
      <c r="I78">
        <v>186</v>
      </c>
      <c r="J78">
        <v>0.5</v>
      </c>
      <c r="K78">
        <f t="shared" si="38"/>
        <v>0.97685703620754</v>
      </c>
      <c r="L78">
        <f t="shared" si="39"/>
        <v>0</v>
      </c>
      <c r="M78" s="18">
        <f t="shared" si="40"/>
        <v>0</v>
      </c>
      <c r="N78">
        <f t="shared" si="41"/>
        <v>0.97685703620754</v>
      </c>
      <c r="O78">
        <f t="shared" si="42"/>
        <v>0.97685703620754</v>
      </c>
      <c r="P78">
        <f t="shared" si="43"/>
        <v>1</v>
      </c>
      <c r="Q78">
        <f t="shared" si="44"/>
        <v>0</v>
      </c>
      <c r="R78">
        <f t="shared" si="45"/>
        <v>0</v>
      </c>
      <c r="S78">
        <f t="shared" si="46"/>
        <v>0.0231429637924599</v>
      </c>
      <c r="T78">
        <f t="shared" si="47"/>
        <v>0</v>
      </c>
      <c r="U78">
        <f t="shared" si="48"/>
        <v>1.02369124952235</v>
      </c>
      <c r="V78">
        <f t="shared" si="49"/>
        <v>0</v>
      </c>
      <c r="W78">
        <f t="shared" si="50"/>
        <v>0</v>
      </c>
      <c r="X78">
        <f t="shared" si="51"/>
        <v>0</v>
      </c>
      <c r="Y78" t="e">
        <f t="shared" si="52"/>
        <v>#DIV/0!</v>
      </c>
      <c r="Z78">
        <f t="shared" si="53"/>
        <v>0</v>
      </c>
      <c r="AA78">
        <f t="shared" si="54"/>
        <v>-0.0231429637924598</v>
      </c>
      <c r="AB78">
        <f t="shared" si="55"/>
        <v>-0.0231429637924598</v>
      </c>
      <c r="AC78">
        <f t="shared" si="56"/>
        <v>0</v>
      </c>
    </row>
    <row r="79" spans="1:29">
      <c r="A79" t="s">
        <v>38</v>
      </c>
      <c r="B79" t="s">
        <v>32</v>
      </c>
      <c r="C79" t="s">
        <v>40</v>
      </c>
      <c r="D79">
        <v>8037</v>
      </c>
      <c r="E79">
        <v>186</v>
      </c>
      <c r="F79">
        <v>0</v>
      </c>
      <c r="G79">
        <v>2617</v>
      </c>
      <c r="H79">
        <v>0</v>
      </c>
      <c r="I79">
        <v>62</v>
      </c>
      <c r="J79">
        <v>0.5</v>
      </c>
      <c r="K79">
        <f t="shared" si="38"/>
        <v>0.97685703620754</v>
      </c>
      <c r="L79">
        <f t="shared" si="39"/>
        <v>0</v>
      </c>
      <c r="M79" s="18">
        <f t="shared" si="40"/>
        <v>0</v>
      </c>
      <c r="N79">
        <f t="shared" si="41"/>
        <v>0.97685703620754</v>
      </c>
      <c r="O79">
        <f t="shared" si="42"/>
        <v>0.97685703620754</v>
      </c>
      <c r="P79">
        <f t="shared" si="43"/>
        <v>1</v>
      </c>
      <c r="Q79">
        <f t="shared" si="44"/>
        <v>0</v>
      </c>
      <c r="R79">
        <f t="shared" si="45"/>
        <v>0</v>
      </c>
      <c r="S79">
        <f t="shared" si="46"/>
        <v>0.0231429637924599</v>
      </c>
      <c r="T79">
        <f t="shared" si="47"/>
        <v>0</v>
      </c>
      <c r="U79">
        <f t="shared" si="48"/>
        <v>1.02369124952235</v>
      </c>
      <c r="V79">
        <f t="shared" si="49"/>
        <v>0</v>
      </c>
      <c r="W79">
        <f t="shared" si="50"/>
        <v>0</v>
      </c>
      <c r="X79">
        <f t="shared" si="51"/>
        <v>0</v>
      </c>
      <c r="Y79" t="e">
        <f t="shared" si="52"/>
        <v>#DIV/0!</v>
      </c>
      <c r="Z79">
        <f t="shared" si="53"/>
        <v>0</v>
      </c>
      <c r="AA79">
        <f t="shared" si="54"/>
        <v>-0.0231429637924598</v>
      </c>
      <c r="AB79">
        <f t="shared" si="55"/>
        <v>-0.0231429637924598</v>
      </c>
      <c r="AC79">
        <f t="shared" si="56"/>
        <v>0</v>
      </c>
    </row>
    <row r="80" spans="1:29">
      <c r="A80" t="s">
        <v>39</v>
      </c>
      <c r="B80" t="s">
        <v>30</v>
      </c>
      <c r="C80" t="s">
        <v>40</v>
      </c>
      <c r="D80">
        <v>8037</v>
      </c>
      <c r="E80">
        <v>186</v>
      </c>
      <c r="F80">
        <v>108</v>
      </c>
      <c r="G80">
        <v>7842</v>
      </c>
      <c r="H80">
        <v>9</v>
      </c>
      <c r="I80">
        <v>78</v>
      </c>
      <c r="J80">
        <v>0.789749405253491</v>
      </c>
      <c r="K80">
        <f t="shared" si="38"/>
        <v>0.989175065322882</v>
      </c>
      <c r="L80">
        <f t="shared" si="39"/>
        <v>0.923076923076923</v>
      </c>
      <c r="M80" s="18">
        <f t="shared" si="40"/>
        <v>0.580645161290323</v>
      </c>
      <c r="N80">
        <f t="shared" si="41"/>
        <v>0.990151515151515</v>
      </c>
      <c r="O80">
        <f t="shared" si="42"/>
        <v>0.990151515151515</v>
      </c>
      <c r="P80">
        <f t="shared" si="43"/>
        <v>0.419354838709677</v>
      </c>
      <c r="Q80">
        <f t="shared" si="44"/>
        <v>0.0011463507833397</v>
      </c>
      <c r="R80">
        <f t="shared" si="45"/>
        <v>0.0769230769230769</v>
      </c>
      <c r="S80">
        <f t="shared" si="46"/>
        <v>0.00984848484848485</v>
      </c>
      <c r="T80">
        <f t="shared" si="47"/>
        <v>506.516129032258</v>
      </c>
      <c r="U80">
        <f t="shared" si="48"/>
        <v>0.423525927388504</v>
      </c>
      <c r="V80">
        <f t="shared" si="49"/>
        <v>0.0425424867108466</v>
      </c>
      <c r="W80">
        <f t="shared" si="50"/>
        <v>0.553846153846154</v>
      </c>
      <c r="X80">
        <f t="shared" si="51"/>
        <v>0.712871287128713</v>
      </c>
      <c r="Y80">
        <f t="shared" si="52"/>
        <v>0.727471507122121</v>
      </c>
      <c r="Z80">
        <f t="shared" si="53"/>
        <v>0.732106651303876</v>
      </c>
      <c r="AA80">
        <f t="shared" si="54"/>
        <v>0.570796676441838</v>
      </c>
      <c r="AB80">
        <f t="shared" si="55"/>
        <v>0.913228438228438</v>
      </c>
      <c r="AC80">
        <f t="shared" si="56"/>
        <v>1195.9506993007</v>
      </c>
    </row>
    <row r="81" spans="1:29">
      <c r="A81" t="s">
        <v>39</v>
      </c>
      <c r="B81" t="s">
        <v>32</v>
      </c>
      <c r="C81" t="s">
        <v>40</v>
      </c>
      <c r="D81">
        <v>8037</v>
      </c>
      <c r="E81">
        <v>186</v>
      </c>
      <c r="F81">
        <v>8</v>
      </c>
      <c r="G81">
        <v>2605</v>
      </c>
      <c r="H81">
        <v>12</v>
      </c>
      <c r="I81">
        <v>54</v>
      </c>
      <c r="J81">
        <v>0.562223427465578</v>
      </c>
      <c r="K81">
        <f t="shared" si="38"/>
        <v>0.975363941769317</v>
      </c>
      <c r="L81">
        <f t="shared" si="39"/>
        <v>0.4</v>
      </c>
      <c r="M81" s="18">
        <f t="shared" si="40"/>
        <v>0.129032258064516</v>
      </c>
      <c r="N81">
        <f t="shared" si="41"/>
        <v>0.979691613388492</v>
      </c>
      <c r="O81">
        <f t="shared" si="42"/>
        <v>0.979691613388492</v>
      </c>
      <c r="P81">
        <f t="shared" si="43"/>
        <v>0.870967741935484</v>
      </c>
      <c r="Q81">
        <f t="shared" si="44"/>
        <v>0.00458540313335881</v>
      </c>
      <c r="R81">
        <f t="shared" si="45"/>
        <v>0.6</v>
      </c>
      <c r="S81">
        <f t="shared" si="46"/>
        <v>0.0203083866115081</v>
      </c>
      <c r="T81">
        <f t="shared" si="47"/>
        <v>28.1397849462366</v>
      </c>
      <c r="U81">
        <f t="shared" si="48"/>
        <v>0.889022351557179</v>
      </c>
      <c r="V81">
        <f t="shared" si="49"/>
        <v>0.15861196477349</v>
      </c>
      <c r="W81">
        <f t="shared" si="50"/>
        <v>0.108108108108108</v>
      </c>
      <c r="X81">
        <f t="shared" si="51"/>
        <v>0.195121951219512</v>
      </c>
      <c r="Y81">
        <f t="shared" si="52"/>
        <v>0.217373933878777</v>
      </c>
      <c r="Z81">
        <f t="shared" si="53"/>
        <v>0.227184733698826</v>
      </c>
      <c r="AA81">
        <f t="shared" si="54"/>
        <v>0.108723871453008</v>
      </c>
      <c r="AB81">
        <f t="shared" si="55"/>
        <v>0.379691613388492</v>
      </c>
      <c r="AC81">
        <f t="shared" si="56"/>
        <v>31.6525055831813</v>
      </c>
    </row>
    <row r="82" spans="1:29">
      <c r="A82" t="s">
        <v>29</v>
      </c>
      <c r="B82" t="s">
        <v>30</v>
      </c>
      <c r="C82" t="s">
        <v>40</v>
      </c>
      <c r="D82">
        <v>8037</v>
      </c>
      <c r="E82">
        <v>186</v>
      </c>
      <c r="F82">
        <v>5</v>
      </c>
      <c r="G82">
        <v>7790</v>
      </c>
      <c r="H82">
        <v>61</v>
      </c>
      <c r="I82">
        <v>181</v>
      </c>
      <c r="J82">
        <v>0.509556004782624</v>
      </c>
      <c r="K82">
        <f t="shared" si="38"/>
        <v>0.969889262162498</v>
      </c>
      <c r="L82">
        <f t="shared" si="39"/>
        <v>0.0757575757575758</v>
      </c>
      <c r="M82" s="18">
        <f t="shared" si="40"/>
        <v>0.0268817204301075</v>
      </c>
      <c r="N82">
        <f t="shared" si="41"/>
        <v>0.977292685986702</v>
      </c>
      <c r="O82">
        <f t="shared" si="42"/>
        <v>0.977292685986702</v>
      </c>
      <c r="P82">
        <f t="shared" si="43"/>
        <v>0.973118279569892</v>
      </c>
      <c r="Q82">
        <f t="shared" si="44"/>
        <v>0.00776971086485798</v>
      </c>
      <c r="R82">
        <f t="shared" si="45"/>
        <v>0.924242424242424</v>
      </c>
      <c r="S82">
        <f t="shared" si="46"/>
        <v>0.0227073140132982</v>
      </c>
      <c r="T82">
        <f t="shared" si="47"/>
        <v>3.45980962453728</v>
      </c>
      <c r="U82">
        <f t="shared" si="48"/>
        <v>0.99572860159841</v>
      </c>
      <c r="V82">
        <f t="shared" si="49"/>
        <v>0.349643460717118</v>
      </c>
      <c r="W82">
        <f t="shared" si="50"/>
        <v>0.0202429149797571</v>
      </c>
      <c r="X82">
        <f t="shared" si="51"/>
        <v>0.0396825396825397</v>
      </c>
      <c r="Y82">
        <f t="shared" si="52"/>
        <v>0.0318417510494575</v>
      </c>
      <c r="Z82">
        <f t="shared" si="53"/>
        <v>0.0451275300894902</v>
      </c>
      <c r="AA82">
        <f t="shared" si="54"/>
        <v>0.00417440641680944</v>
      </c>
      <c r="AB82">
        <f t="shared" si="55"/>
        <v>0.0530502617442776</v>
      </c>
      <c r="AC82">
        <f t="shared" si="56"/>
        <v>3.4746512443083</v>
      </c>
    </row>
    <row r="83" spans="1:29">
      <c r="A83" t="s">
        <v>29</v>
      </c>
      <c r="B83" t="s">
        <v>32</v>
      </c>
      <c r="C83" t="s">
        <v>40</v>
      </c>
      <c r="D83">
        <v>8037</v>
      </c>
      <c r="E83">
        <v>186</v>
      </c>
      <c r="F83">
        <v>3</v>
      </c>
      <c r="G83">
        <v>2591</v>
      </c>
      <c r="H83">
        <v>26</v>
      </c>
      <c r="I83">
        <v>59</v>
      </c>
      <c r="J83">
        <v>0.519226028325958</v>
      </c>
      <c r="K83">
        <f t="shared" si="38"/>
        <v>0.968271743187757</v>
      </c>
      <c r="L83">
        <f t="shared" si="39"/>
        <v>0.103448275862069</v>
      </c>
      <c r="M83" s="18">
        <f t="shared" si="40"/>
        <v>0.0483870967741935</v>
      </c>
      <c r="N83">
        <f t="shared" si="41"/>
        <v>0.977735849056604</v>
      </c>
      <c r="O83">
        <f t="shared" si="42"/>
        <v>0.977735849056604</v>
      </c>
      <c r="P83">
        <f t="shared" si="43"/>
        <v>0.951612903225806</v>
      </c>
      <c r="Q83">
        <f t="shared" si="44"/>
        <v>0.00993504012227742</v>
      </c>
      <c r="R83">
        <f t="shared" si="45"/>
        <v>0.896551724137931</v>
      </c>
      <c r="S83">
        <f t="shared" si="46"/>
        <v>0.0222641509433962</v>
      </c>
      <c r="T83">
        <f t="shared" si="47"/>
        <v>4.87034739454094</v>
      </c>
      <c r="U83">
        <f t="shared" si="48"/>
        <v>0.973282205151828</v>
      </c>
      <c r="V83">
        <f t="shared" si="49"/>
        <v>0.311828948253198</v>
      </c>
      <c r="W83">
        <f t="shared" si="50"/>
        <v>0.0340909090909091</v>
      </c>
      <c r="X83">
        <f t="shared" si="51"/>
        <v>0.0659340659340659</v>
      </c>
      <c r="Y83">
        <f t="shared" si="52"/>
        <v>0.055872144854203</v>
      </c>
      <c r="Z83">
        <f t="shared" si="53"/>
        <v>0.0707499945954867</v>
      </c>
      <c r="AA83">
        <f t="shared" si="54"/>
        <v>0.0261229458307974</v>
      </c>
      <c r="AB83">
        <f t="shared" si="55"/>
        <v>0.0811841249186729</v>
      </c>
      <c r="AC83">
        <f t="shared" si="56"/>
        <v>5.00404442695137</v>
      </c>
    </row>
    <row r="84" spans="1:29">
      <c r="A84" t="s">
        <v>33</v>
      </c>
      <c r="B84" t="s">
        <v>30</v>
      </c>
      <c r="C84" t="s">
        <v>40</v>
      </c>
      <c r="D84">
        <v>8037</v>
      </c>
      <c r="E84">
        <v>186</v>
      </c>
      <c r="F84">
        <v>0</v>
      </c>
      <c r="G84">
        <v>7851</v>
      </c>
      <c r="H84">
        <v>0</v>
      </c>
      <c r="I84">
        <v>186</v>
      </c>
      <c r="J84">
        <v>0.5</v>
      </c>
      <c r="K84">
        <f t="shared" si="38"/>
        <v>0.97685703620754</v>
      </c>
      <c r="L84">
        <f t="shared" si="39"/>
        <v>0</v>
      </c>
      <c r="M84" s="18">
        <f t="shared" si="40"/>
        <v>0</v>
      </c>
      <c r="N84">
        <f t="shared" si="41"/>
        <v>0.97685703620754</v>
      </c>
      <c r="O84">
        <f t="shared" si="42"/>
        <v>0.97685703620754</v>
      </c>
      <c r="P84">
        <f t="shared" si="43"/>
        <v>1</v>
      </c>
      <c r="Q84">
        <f t="shared" si="44"/>
        <v>0</v>
      </c>
      <c r="R84">
        <f t="shared" si="45"/>
        <v>0</v>
      </c>
      <c r="S84">
        <f t="shared" si="46"/>
        <v>0.0231429637924599</v>
      </c>
      <c r="T84">
        <f t="shared" si="47"/>
        <v>0</v>
      </c>
      <c r="U84">
        <f t="shared" si="48"/>
        <v>1.02369124952235</v>
      </c>
      <c r="V84">
        <f t="shared" si="49"/>
        <v>0</v>
      </c>
      <c r="W84">
        <f t="shared" si="50"/>
        <v>0</v>
      </c>
      <c r="X84">
        <f t="shared" si="51"/>
        <v>0</v>
      </c>
      <c r="Y84" t="e">
        <f t="shared" si="52"/>
        <v>#DIV/0!</v>
      </c>
      <c r="Z84">
        <f t="shared" si="53"/>
        <v>0</v>
      </c>
      <c r="AA84">
        <f t="shared" si="54"/>
        <v>-0.0231429637924598</v>
      </c>
      <c r="AB84">
        <f t="shared" si="55"/>
        <v>-0.0231429637924598</v>
      </c>
      <c r="AC84">
        <f t="shared" si="56"/>
        <v>0</v>
      </c>
    </row>
    <row r="85" spans="1:29">
      <c r="A85" t="s">
        <v>33</v>
      </c>
      <c r="B85" t="s">
        <v>32</v>
      </c>
      <c r="C85" t="s">
        <v>40</v>
      </c>
      <c r="D85">
        <v>8037</v>
      </c>
      <c r="E85">
        <v>186</v>
      </c>
      <c r="F85">
        <v>0</v>
      </c>
      <c r="G85">
        <v>2617</v>
      </c>
      <c r="H85">
        <v>0</v>
      </c>
      <c r="I85">
        <v>62</v>
      </c>
      <c r="J85">
        <v>0.5</v>
      </c>
      <c r="K85">
        <f t="shared" si="38"/>
        <v>0.97685703620754</v>
      </c>
      <c r="L85">
        <f t="shared" si="39"/>
        <v>0</v>
      </c>
      <c r="M85" s="18">
        <f t="shared" si="40"/>
        <v>0</v>
      </c>
      <c r="N85">
        <f t="shared" si="41"/>
        <v>0.97685703620754</v>
      </c>
      <c r="O85">
        <f t="shared" si="42"/>
        <v>0.97685703620754</v>
      </c>
      <c r="P85">
        <f t="shared" si="43"/>
        <v>1</v>
      </c>
      <c r="Q85">
        <f t="shared" si="44"/>
        <v>0</v>
      </c>
      <c r="R85">
        <f t="shared" si="45"/>
        <v>0</v>
      </c>
      <c r="S85">
        <f t="shared" si="46"/>
        <v>0.0231429637924599</v>
      </c>
      <c r="T85">
        <f t="shared" si="47"/>
        <v>0</v>
      </c>
      <c r="U85">
        <f t="shared" si="48"/>
        <v>1.02369124952235</v>
      </c>
      <c r="V85">
        <f t="shared" si="49"/>
        <v>0</v>
      </c>
      <c r="W85">
        <f t="shared" si="50"/>
        <v>0</v>
      </c>
      <c r="X85">
        <f t="shared" si="51"/>
        <v>0</v>
      </c>
      <c r="Y85" t="e">
        <f t="shared" si="52"/>
        <v>#DIV/0!</v>
      </c>
      <c r="Z85">
        <f t="shared" si="53"/>
        <v>0</v>
      </c>
      <c r="AA85">
        <f t="shared" si="54"/>
        <v>-0.0231429637924598</v>
      </c>
      <c r="AB85">
        <f t="shared" si="55"/>
        <v>-0.0231429637924598</v>
      </c>
      <c r="AC85">
        <f t="shared" si="56"/>
        <v>0</v>
      </c>
    </row>
    <row r="86" spans="1:29">
      <c r="A86" t="s">
        <v>34</v>
      </c>
      <c r="B86" t="s">
        <v>30</v>
      </c>
      <c r="C86" t="s">
        <v>40</v>
      </c>
      <c r="D86">
        <v>8037</v>
      </c>
      <c r="E86">
        <v>186</v>
      </c>
      <c r="F86">
        <v>186</v>
      </c>
      <c r="G86">
        <v>7851</v>
      </c>
      <c r="H86">
        <v>0</v>
      </c>
      <c r="I86">
        <v>0</v>
      </c>
      <c r="J86">
        <v>1</v>
      </c>
      <c r="K86">
        <f t="shared" si="38"/>
        <v>1</v>
      </c>
      <c r="L86">
        <f t="shared" si="39"/>
        <v>1</v>
      </c>
      <c r="M86" s="18">
        <f t="shared" si="40"/>
        <v>1</v>
      </c>
      <c r="N86">
        <f t="shared" si="41"/>
        <v>1</v>
      </c>
      <c r="O86">
        <f t="shared" si="42"/>
        <v>1</v>
      </c>
      <c r="P86">
        <f t="shared" si="43"/>
        <v>0</v>
      </c>
      <c r="Q86">
        <f t="shared" si="44"/>
        <v>0</v>
      </c>
      <c r="R86">
        <f t="shared" si="45"/>
        <v>0</v>
      </c>
      <c r="S86">
        <f t="shared" si="46"/>
        <v>0</v>
      </c>
      <c r="T86">
        <f t="shared" si="47"/>
        <v>0</v>
      </c>
      <c r="U86">
        <f t="shared" si="48"/>
        <v>0</v>
      </c>
      <c r="V86">
        <f t="shared" si="49"/>
        <v>0</v>
      </c>
      <c r="W86">
        <f t="shared" si="50"/>
        <v>1</v>
      </c>
      <c r="X86">
        <f t="shared" si="51"/>
        <v>1</v>
      </c>
      <c r="Y86">
        <f t="shared" si="52"/>
        <v>1</v>
      </c>
      <c r="Z86">
        <f t="shared" si="53"/>
        <v>1</v>
      </c>
      <c r="AA86">
        <f t="shared" si="54"/>
        <v>1</v>
      </c>
      <c r="AB86">
        <f t="shared" si="55"/>
        <v>1</v>
      </c>
      <c r="AC86">
        <f t="shared" si="56"/>
        <v>0</v>
      </c>
    </row>
    <row r="87" spans="1:29">
      <c r="A87" t="s">
        <v>34</v>
      </c>
      <c r="B87" t="s">
        <v>32</v>
      </c>
      <c r="C87" t="s">
        <v>40</v>
      </c>
      <c r="D87">
        <v>8037</v>
      </c>
      <c r="E87">
        <v>186</v>
      </c>
      <c r="F87">
        <v>10</v>
      </c>
      <c r="G87">
        <v>2562</v>
      </c>
      <c r="H87">
        <v>55</v>
      </c>
      <c r="I87">
        <v>52</v>
      </c>
      <c r="J87">
        <v>0.570136945776375</v>
      </c>
      <c r="K87">
        <f t="shared" si="38"/>
        <v>0.960059723777529</v>
      </c>
      <c r="L87">
        <f t="shared" si="39"/>
        <v>0.153846153846154</v>
      </c>
      <c r="M87" s="18">
        <f t="shared" si="40"/>
        <v>0.161290322580645</v>
      </c>
      <c r="N87">
        <f t="shared" si="41"/>
        <v>0.980107115531752</v>
      </c>
      <c r="O87">
        <f t="shared" si="42"/>
        <v>0.980107115531752</v>
      </c>
      <c r="P87">
        <f t="shared" si="43"/>
        <v>0.838709677419355</v>
      </c>
      <c r="Q87">
        <f t="shared" si="44"/>
        <v>0.0210164310278945</v>
      </c>
      <c r="R87">
        <f t="shared" si="45"/>
        <v>0.846153846153846</v>
      </c>
      <c r="S87">
        <f t="shared" si="46"/>
        <v>0.0198928844682479</v>
      </c>
      <c r="T87">
        <f t="shared" si="47"/>
        <v>7.67448680351906</v>
      </c>
      <c r="U87">
        <f t="shared" si="48"/>
        <v>0.85573266853013</v>
      </c>
      <c r="V87">
        <f t="shared" si="49"/>
        <v>0.265231839380887</v>
      </c>
      <c r="W87">
        <f t="shared" si="50"/>
        <v>0.0854700854700855</v>
      </c>
      <c r="X87">
        <f t="shared" si="51"/>
        <v>0.15748031496063</v>
      </c>
      <c r="Y87">
        <f t="shared" si="52"/>
        <v>0.137077154850299</v>
      </c>
      <c r="Z87">
        <f t="shared" si="53"/>
        <v>0.157524270452644</v>
      </c>
      <c r="AA87">
        <f t="shared" si="54"/>
        <v>0.141397438112397</v>
      </c>
      <c r="AB87">
        <f t="shared" si="55"/>
        <v>0.133953269377906</v>
      </c>
      <c r="AC87">
        <f t="shared" si="56"/>
        <v>8.96832280191117</v>
      </c>
    </row>
    <row r="88" spans="1:29">
      <c r="A88" t="s">
        <v>35</v>
      </c>
      <c r="B88" t="s">
        <v>30</v>
      </c>
      <c r="C88" t="s">
        <v>40</v>
      </c>
      <c r="D88">
        <v>8037</v>
      </c>
      <c r="E88">
        <v>186</v>
      </c>
      <c r="F88">
        <v>186</v>
      </c>
      <c r="G88">
        <v>7851</v>
      </c>
      <c r="H88">
        <v>0</v>
      </c>
      <c r="I88">
        <v>0</v>
      </c>
      <c r="J88">
        <v>1</v>
      </c>
      <c r="K88">
        <f t="shared" si="38"/>
        <v>1</v>
      </c>
      <c r="L88">
        <f t="shared" si="39"/>
        <v>1</v>
      </c>
      <c r="M88" s="18">
        <f t="shared" si="40"/>
        <v>1</v>
      </c>
      <c r="N88">
        <f t="shared" si="41"/>
        <v>1</v>
      </c>
      <c r="O88">
        <f t="shared" si="42"/>
        <v>1</v>
      </c>
      <c r="P88">
        <f t="shared" si="43"/>
        <v>0</v>
      </c>
      <c r="Q88">
        <f t="shared" si="44"/>
        <v>0</v>
      </c>
      <c r="R88">
        <f t="shared" si="45"/>
        <v>0</v>
      </c>
      <c r="S88">
        <f t="shared" si="46"/>
        <v>0</v>
      </c>
      <c r="T88">
        <f t="shared" si="47"/>
        <v>0</v>
      </c>
      <c r="U88">
        <f t="shared" si="48"/>
        <v>0</v>
      </c>
      <c r="V88">
        <f t="shared" si="49"/>
        <v>0</v>
      </c>
      <c r="W88">
        <f t="shared" si="50"/>
        <v>1</v>
      </c>
      <c r="X88">
        <f t="shared" si="51"/>
        <v>1</v>
      </c>
      <c r="Y88">
        <f t="shared" si="52"/>
        <v>1</v>
      </c>
      <c r="Z88">
        <f t="shared" si="53"/>
        <v>1</v>
      </c>
      <c r="AA88">
        <f t="shared" si="54"/>
        <v>1</v>
      </c>
      <c r="AB88">
        <f t="shared" si="55"/>
        <v>1</v>
      </c>
      <c r="AC88">
        <f t="shared" si="56"/>
        <v>0</v>
      </c>
    </row>
    <row r="89" spans="1:29">
      <c r="A89" t="s">
        <v>35</v>
      </c>
      <c r="B89" t="s">
        <v>32</v>
      </c>
      <c r="C89" t="s">
        <v>40</v>
      </c>
      <c r="D89">
        <v>8037</v>
      </c>
      <c r="E89">
        <v>186</v>
      </c>
      <c r="F89">
        <v>0</v>
      </c>
      <c r="G89">
        <v>2617</v>
      </c>
      <c r="H89">
        <v>0</v>
      </c>
      <c r="I89">
        <v>62</v>
      </c>
      <c r="J89">
        <v>0.5</v>
      </c>
      <c r="K89">
        <f t="shared" si="38"/>
        <v>0.97685703620754</v>
      </c>
      <c r="L89">
        <f t="shared" si="39"/>
        <v>0</v>
      </c>
      <c r="M89" s="18">
        <f t="shared" si="40"/>
        <v>0</v>
      </c>
      <c r="N89">
        <f t="shared" si="41"/>
        <v>0.97685703620754</v>
      </c>
      <c r="O89">
        <f t="shared" si="42"/>
        <v>0.97685703620754</v>
      </c>
      <c r="P89">
        <f t="shared" si="43"/>
        <v>1</v>
      </c>
      <c r="Q89">
        <f t="shared" si="44"/>
        <v>0</v>
      </c>
      <c r="R89">
        <f t="shared" si="45"/>
        <v>0</v>
      </c>
      <c r="S89">
        <f t="shared" si="46"/>
        <v>0.0231429637924599</v>
      </c>
      <c r="T89">
        <f t="shared" si="47"/>
        <v>0</v>
      </c>
      <c r="U89">
        <f t="shared" si="48"/>
        <v>1.02369124952235</v>
      </c>
      <c r="V89">
        <f t="shared" si="49"/>
        <v>0</v>
      </c>
      <c r="W89">
        <f t="shared" si="50"/>
        <v>0</v>
      </c>
      <c r="X89">
        <f t="shared" si="51"/>
        <v>0</v>
      </c>
      <c r="Y89" t="e">
        <f t="shared" si="52"/>
        <v>#DIV/0!</v>
      </c>
      <c r="Z89">
        <f t="shared" si="53"/>
        <v>0</v>
      </c>
      <c r="AA89">
        <f t="shared" si="54"/>
        <v>-0.0231429637924598</v>
      </c>
      <c r="AB89">
        <f t="shared" si="55"/>
        <v>-0.0231429637924598</v>
      </c>
      <c r="AC89">
        <f t="shared" si="56"/>
        <v>0</v>
      </c>
    </row>
    <row r="90" spans="1:29">
      <c r="A90" t="s">
        <v>36</v>
      </c>
      <c r="B90" t="s">
        <v>30</v>
      </c>
      <c r="C90" t="s">
        <v>40</v>
      </c>
      <c r="D90">
        <v>8037</v>
      </c>
      <c r="E90">
        <v>186</v>
      </c>
      <c r="F90">
        <v>22</v>
      </c>
      <c r="G90">
        <v>7847</v>
      </c>
      <c r="H90">
        <v>4</v>
      </c>
      <c r="I90">
        <v>164</v>
      </c>
      <c r="J90">
        <v>0.558885040327716</v>
      </c>
      <c r="K90">
        <f t="shared" si="38"/>
        <v>0.979096677864875</v>
      </c>
      <c r="L90">
        <f t="shared" si="39"/>
        <v>0.846153846153846</v>
      </c>
      <c r="M90" s="18">
        <f t="shared" si="40"/>
        <v>0.118279569892473</v>
      </c>
      <c r="N90">
        <f t="shared" si="41"/>
        <v>0.979528148795406</v>
      </c>
      <c r="O90">
        <f t="shared" si="42"/>
        <v>0.979528148795406</v>
      </c>
      <c r="P90">
        <f t="shared" si="43"/>
        <v>0.881720430107527</v>
      </c>
      <c r="Q90">
        <f t="shared" si="44"/>
        <v>0.000509489237039868</v>
      </c>
      <c r="R90">
        <f t="shared" si="45"/>
        <v>0.153846153846154</v>
      </c>
      <c r="S90">
        <f t="shared" si="46"/>
        <v>0.0204718512045937</v>
      </c>
      <c r="T90">
        <f t="shared" si="47"/>
        <v>232.153225806452</v>
      </c>
      <c r="U90">
        <f t="shared" si="48"/>
        <v>0.900148128659538</v>
      </c>
      <c r="V90">
        <f t="shared" si="49"/>
        <v>0.0615893428064682</v>
      </c>
      <c r="W90">
        <f t="shared" si="50"/>
        <v>0.115789473684211</v>
      </c>
      <c r="X90">
        <f t="shared" si="51"/>
        <v>0.207547169811321</v>
      </c>
      <c r="Y90">
        <f t="shared" si="52"/>
        <v>0.311834307190393</v>
      </c>
      <c r="Z90">
        <f t="shared" si="53"/>
        <v>0.316358519698678</v>
      </c>
      <c r="AA90">
        <f t="shared" si="54"/>
        <v>0.0978077186878794</v>
      </c>
      <c r="AB90">
        <f t="shared" si="55"/>
        <v>0.825681994949252</v>
      </c>
      <c r="AC90">
        <f t="shared" si="56"/>
        <v>257.905580665</v>
      </c>
    </row>
    <row r="91" spans="1:29">
      <c r="A91" t="s">
        <v>36</v>
      </c>
      <c r="B91" t="s">
        <v>32</v>
      </c>
      <c r="C91" t="s">
        <v>40</v>
      </c>
      <c r="D91">
        <v>8037</v>
      </c>
      <c r="E91">
        <v>186</v>
      </c>
      <c r="F91">
        <v>3</v>
      </c>
      <c r="G91">
        <v>2613</v>
      </c>
      <c r="H91">
        <v>4</v>
      </c>
      <c r="I91">
        <v>59</v>
      </c>
      <c r="J91">
        <v>0.523429314531537</v>
      </c>
      <c r="K91">
        <f t="shared" si="38"/>
        <v>0.976483762597984</v>
      </c>
      <c r="L91">
        <f t="shared" si="39"/>
        <v>0.428571428571429</v>
      </c>
      <c r="M91" s="18">
        <f t="shared" si="40"/>
        <v>0.0483870967741935</v>
      </c>
      <c r="N91">
        <f t="shared" si="41"/>
        <v>0.977919161676647</v>
      </c>
      <c r="O91">
        <f t="shared" si="42"/>
        <v>0.977919161676647</v>
      </c>
      <c r="P91">
        <f t="shared" si="43"/>
        <v>0.951612903225806</v>
      </c>
      <c r="Q91">
        <f t="shared" si="44"/>
        <v>0.0015284677111196</v>
      </c>
      <c r="R91">
        <f t="shared" si="45"/>
        <v>0.571428571428571</v>
      </c>
      <c r="S91">
        <f t="shared" si="46"/>
        <v>0.0220808383233533</v>
      </c>
      <c r="T91">
        <f t="shared" si="47"/>
        <v>31.6572580645161</v>
      </c>
      <c r="U91">
        <f t="shared" si="48"/>
        <v>0.97309976173722</v>
      </c>
      <c r="V91">
        <f t="shared" si="49"/>
        <v>0.150909722279542</v>
      </c>
      <c r="W91">
        <f t="shared" si="50"/>
        <v>0.0454545454545455</v>
      </c>
      <c r="X91">
        <f t="shared" si="51"/>
        <v>0.0869565217391304</v>
      </c>
      <c r="Y91">
        <f t="shared" si="52"/>
        <v>0.138013013104071</v>
      </c>
      <c r="Z91">
        <f t="shared" si="53"/>
        <v>0.144004608221196</v>
      </c>
      <c r="AA91">
        <f t="shared" si="54"/>
        <v>0.0263062584508402</v>
      </c>
      <c r="AB91">
        <f t="shared" si="55"/>
        <v>0.406490590248075</v>
      </c>
      <c r="AC91">
        <f t="shared" si="56"/>
        <v>32.5323870267939</v>
      </c>
    </row>
    <row r="92" spans="1:29">
      <c r="A92" t="s">
        <v>37</v>
      </c>
      <c r="B92" t="s">
        <v>30</v>
      </c>
      <c r="C92" t="s">
        <v>40</v>
      </c>
      <c r="D92">
        <v>8037</v>
      </c>
      <c r="E92">
        <v>186</v>
      </c>
      <c r="F92">
        <v>46</v>
      </c>
      <c r="G92">
        <v>7409</v>
      </c>
      <c r="H92">
        <v>442</v>
      </c>
      <c r="I92">
        <v>140</v>
      </c>
      <c r="J92">
        <v>0.595506633632041</v>
      </c>
      <c r="K92">
        <f t="shared" si="38"/>
        <v>0.927584919746174</v>
      </c>
      <c r="L92">
        <f t="shared" si="39"/>
        <v>0.0942622950819672</v>
      </c>
      <c r="M92" s="18">
        <f t="shared" si="40"/>
        <v>0.247311827956989</v>
      </c>
      <c r="N92">
        <f t="shared" si="41"/>
        <v>0.981454497284408</v>
      </c>
      <c r="O92">
        <f t="shared" si="42"/>
        <v>0.981454497284408</v>
      </c>
      <c r="P92">
        <f t="shared" si="43"/>
        <v>0.752688172043011</v>
      </c>
      <c r="Q92">
        <f t="shared" si="44"/>
        <v>0.0562985606929054</v>
      </c>
      <c r="R92">
        <f t="shared" si="45"/>
        <v>0.905737704918033</v>
      </c>
      <c r="S92">
        <f t="shared" si="46"/>
        <v>0.0185455027155915</v>
      </c>
      <c r="T92">
        <f t="shared" si="47"/>
        <v>4.39286235586046</v>
      </c>
      <c r="U92">
        <f t="shared" si="48"/>
        <v>0.766910920603683</v>
      </c>
      <c r="V92">
        <f t="shared" si="49"/>
        <v>0.323006217665956</v>
      </c>
      <c r="W92">
        <f t="shared" si="50"/>
        <v>0.0732484076433121</v>
      </c>
      <c r="X92">
        <f t="shared" si="51"/>
        <v>0.136498516320475</v>
      </c>
      <c r="Y92">
        <f t="shared" si="52"/>
        <v>0.120261847219547</v>
      </c>
      <c r="Z92">
        <f t="shared" si="53"/>
        <v>0.152683268579574</v>
      </c>
      <c r="AA92">
        <f t="shared" si="54"/>
        <v>0.228766325241398</v>
      </c>
      <c r="AB92">
        <f t="shared" si="55"/>
        <v>0.0757167923663757</v>
      </c>
      <c r="AC92">
        <f t="shared" si="56"/>
        <v>5.72799557007555</v>
      </c>
    </row>
    <row r="93" spans="1:29">
      <c r="A93" t="s">
        <v>37</v>
      </c>
      <c r="B93" t="s">
        <v>32</v>
      </c>
      <c r="C93" t="s">
        <v>40</v>
      </c>
      <c r="D93">
        <v>8037</v>
      </c>
      <c r="E93">
        <v>186</v>
      </c>
      <c r="F93">
        <v>16</v>
      </c>
      <c r="G93">
        <v>2478</v>
      </c>
      <c r="H93">
        <v>139</v>
      </c>
      <c r="I93">
        <v>46</v>
      </c>
      <c r="J93">
        <v>0.602475131583813</v>
      </c>
      <c r="K93">
        <f t="shared" si="38"/>
        <v>0.930944382232176</v>
      </c>
      <c r="L93">
        <f t="shared" si="39"/>
        <v>0.103225806451613</v>
      </c>
      <c r="M93" s="18">
        <f t="shared" si="40"/>
        <v>0.258064516129032</v>
      </c>
      <c r="N93">
        <f t="shared" si="41"/>
        <v>0.981774960380349</v>
      </c>
      <c r="O93">
        <f t="shared" si="42"/>
        <v>0.981774960380349</v>
      </c>
      <c r="P93">
        <f t="shared" si="43"/>
        <v>0.741935483870968</v>
      </c>
      <c r="Q93">
        <f t="shared" si="44"/>
        <v>0.0531142529614062</v>
      </c>
      <c r="R93">
        <f t="shared" si="45"/>
        <v>0.896774193548387</v>
      </c>
      <c r="S93">
        <f t="shared" si="46"/>
        <v>0.0182250396196513</v>
      </c>
      <c r="T93">
        <f t="shared" si="47"/>
        <v>4.85866790438617</v>
      </c>
      <c r="U93">
        <f t="shared" si="48"/>
        <v>0.755708297534432</v>
      </c>
      <c r="V93">
        <f t="shared" si="49"/>
        <v>0.312086619584413</v>
      </c>
      <c r="W93">
        <f t="shared" si="50"/>
        <v>0.0796019900497512</v>
      </c>
      <c r="X93">
        <f t="shared" si="51"/>
        <v>0.147465437788018</v>
      </c>
      <c r="Y93">
        <f t="shared" si="52"/>
        <v>0.131988368925677</v>
      </c>
      <c r="Z93">
        <f t="shared" si="53"/>
        <v>0.1632143308474</v>
      </c>
      <c r="AA93">
        <f t="shared" si="54"/>
        <v>0.239839476509381</v>
      </c>
      <c r="AB93">
        <f t="shared" si="55"/>
        <v>0.0850007668319614</v>
      </c>
      <c r="AC93">
        <f t="shared" si="56"/>
        <v>6.42929013779261</v>
      </c>
    </row>
    <row r="94" spans="1:29">
      <c r="A94" t="s">
        <v>38</v>
      </c>
      <c r="B94" t="s">
        <v>30</v>
      </c>
      <c r="C94" t="s">
        <v>40</v>
      </c>
      <c r="D94">
        <v>8037</v>
      </c>
      <c r="E94">
        <v>186</v>
      </c>
      <c r="F94">
        <v>0</v>
      </c>
      <c r="G94">
        <v>7851</v>
      </c>
      <c r="H94">
        <v>0</v>
      </c>
      <c r="I94">
        <v>186</v>
      </c>
      <c r="J94">
        <v>0.5</v>
      </c>
      <c r="K94">
        <f t="shared" si="38"/>
        <v>0.97685703620754</v>
      </c>
      <c r="L94">
        <f t="shared" si="39"/>
        <v>0</v>
      </c>
      <c r="M94" s="18">
        <f t="shared" si="40"/>
        <v>0</v>
      </c>
      <c r="N94">
        <f t="shared" si="41"/>
        <v>0.97685703620754</v>
      </c>
      <c r="O94">
        <f t="shared" si="42"/>
        <v>0.97685703620754</v>
      </c>
      <c r="P94">
        <f t="shared" si="43"/>
        <v>1</v>
      </c>
      <c r="Q94">
        <f t="shared" si="44"/>
        <v>0</v>
      </c>
      <c r="R94">
        <f t="shared" si="45"/>
        <v>0</v>
      </c>
      <c r="S94">
        <f t="shared" si="46"/>
        <v>0.0231429637924599</v>
      </c>
      <c r="T94">
        <f t="shared" si="47"/>
        <v>0</v>
      </c>
      <c r="U94">
        <f t="shared" si="48"/>
        <v>1.02369124952235</v>
      </c>
      <c r="V94">
        <f t="shared" si="49"/>
        <v>0</v>
      </c>
      <c r="W94">
        <f t="shared" si="50"/>
        <v>0</v>
      </c>
      <c r="X94">
        <f t="shared" si="51"/>
        <v>0</v>
      </c>
      <c r="Y94" t="e">
        <f t="shared" si="52"/>
        <v>#DIV/0!</v>
      </c>
      <c r="Z94">
        <f t="shared" si="53"/>
        <v>0</v>
      </c>
      <c r="AA94">
        <f t="shared" si="54"/>
        <v>-0.0231429637924598</v>
      </c>
      <c r="AB94">
        <f t="shared" si="55"/>
        <v>-0.0231429637924598</v>
      </c>
      <c r="AC94">
        <f t="shared" si="56"/>
        <v>0</v>
      </c>
    </row>
    <row r="95" spans="1:29">
      <c r="A95" t="s">
        <v>38</v>
      </c>
      <c r="B95" t="s">
        <v>32</v>
      </c>
      <c r="C95" t="s">
        <v>40</v>
      </c>
      <c r="D95">
        <v>8037</v>
      </c>
      <c r="E95">
        <v>186</v>
      </c>
      <c r="F95">
        <v>0</v>
      </c>
      <c r="G95">
        <v>2617</v>
      </c>
      <c r="H95">
        <v>0</v>
      </c>
      <c r="I95">
        <v>62</v>
      </c>
      <c r="J95">
        <v>0.5</v>
      </c>
      <c r="K95">
        <f t="shared" si="38"/>
        <v>0.97685703620754</v>
      </c>
      <c r="L95">
        <f t="shared" si="39"/>
        <v>0</v>
      </c>
      <c r="M95" s="18">
        <f t="shared" si="40"/>
        <v>0</v>
      </c>
      <c r="N95">
        <f t="shared" si="41"/>
        <v>0.97685703620754</v>
      </c>
      <c r="O95">
        <f t="shared" si="42"/>
        <v>0.97685703620754</v>
      </c>
      <c r="P95">
        <f t="shared" si="43"/>
        <v>1</v>
      </c>
      <c r="Q95">
        <f t="shared" si="44"/>
        <v>0</v>
      </c>
      <c r="R95">
        <f t="shared" si="45"/>
        <v>0</v>
      </c>
      <c r="S95">
        <f t="shared" si="46"/>
        <v>0.0231429637924599</v>
      </c>
      <c r="T95">
        <f t="shared" si="47"/>
        <v>0</v>
      </c>
      <c r="U95">
        <f t="shared" si="48"/>
        <v>1.02369124952235</v>
      </c>
      <c r="V95">
        <f t="shared" si="49"/>
        <v>0</v>
      </c>
      <c r="W95">
        <f t="shared" si="50"/>
        <v>0</v>
      </c>
      <c r="X95">
        <f t="shared" si="51"/>
        <v>0</v>
      </c>
      <c r="Y95" t="e">
        <f t="shared" si="52"/>
        <v>#DIV/0!</v>
      </c>
      <c r="Z95">
        <f t="shared" si="53"/>
        <v>0</v>
      </c>
      <c r="AA95">
        <f t="shared" si="54"/>
        <v>-0.0231429637924598</v>
      </c>
      <c r="AB95">
        <f t="shared" si="55"/>
        <v>-0.0231429637924598</v>
      </c>
      <c r="AC95">
        <f t="shared" si="56"/>
        <v>0</v>
      </c>
    </row>
    <row r="96" spans="1:29">
      <c r="A96" t="s">
        <v>39</v>
      </c>
      <c r="B96" t="s">
        <v>30</v>
      </c>
      <c r="C96" t="s">
        <v>40</v>
      </c>
      <c r="D96">
        <v>8037</v>
      </c>
      <c r="E96">
        <v>186</v>
      </c>
      <c r="F96">
        <v>154</v>
      </c>
      <c r="G96">
        <v>7834</v>
      </c>
      <c r="H96">
        <v>17</v>
      </c>
      <c r="I96">
        <v>32</v>
      </c>
      <c r="J96">
        <v>0.912895829994946</v>
      </c>
      <c r="K96">
        <f t="shared" si="38"/>
        <v>0.993903197710589</v>
      </c>
      <c r="L96">
        <f t="shared" si="39"/>
        <v>0.900584795321637</v>
      </c>
      <c r="M96" s="18">
        <f t="shared" si="40"/>
        <v>0.827956989247312</v>
      </c>
      <c r="N96">
        <f t="shared" si="41"/>
        <v>0.995931858632087</v>
      </c>
      <c r="O96">
        <f t="shared" si="42"/>
        <v>0.995931858632087</v>
      </c>
      <c r="P96">
        <f t="shared" si="43"/>
        <v>0.172043010752688</v>
      </c>
      <c r="Q96">
        <f t="shared" si="44"/>
        <v>0.00216532925741944</v>
      </c>
      <c r="R96">
        <f t="shared" si="45"/>
        <v>0.0994152046783626</v>
      </c>
      <c r="S96">
        <f t="shared" si="46"/>
        <v>0.00406814136791253</v>
      </c>
      <c r="T96">
        <f t="shared" si="47"/>
        <v>382.370018975332</v>
      </c>
      <c r="U96">
        <f t="shared" si="48"/>
        <v>0.172745764945193</v>
      </c>
      <c r="V96">
        <f t="shared" si="49"/>
        <v>0.0486516584425441</v>
      </c>
      <c r="W96">
        <f t="shared" si="50"/>
        <v>0.758620689655172</v>
      </c>
      <c r="X96">
        <f t="shared" si="51"/>
        <v>0.862745098039216</v>
      </c>
      <c r="Y96">
        <f t="shared" si="52"/>
        <v>0.860427786555636</v>
      </c>
      <c r="Z96">
        <f t="shared" si="53"/>
        <v>0.863507658157361</v>
      </c>
      <c r="AA96">
        <f t="shared" si="54"/>
        <v>0.823888847879399</v>
      </c>
      <c r="AB96">
        <f t="shared" si="55"/>
        <v>0.896516653953725</v>
      </c>
      <c r="AC96">
        <f t="shared" si="56"/>
        <v>2213.48418640912</v>
      </c>
    </row>
    <row r="97" spans="1:29">
      <c r="A97" t="s">
        <v>39</v>
      </c>
      <c r="B97" t="s">
        <v>32</v>
      </c>
      <c r="C97" t="s">
        <v>40</v>
      </c>
      <c r="D97">
        <v>8037</v>
      </c>
      <c r="E97">
        <v>186</v>
      </c>
      <c r="F97">
        <v>24</v>
      </c>
      <c r="G97">
        <v>2583</v>
      </c>
      <c r="H97">
        <v>34</v>
      </c>
      <c r="I97">
        <v>38</v>
      </c>
      <c r="J97">
        <v>0.687052399324515</v>
      </c>
      <c r="K97">
        <f t="shared" si="38"/>
        <v>0.973124300111982</v>
      </c>
      <c r="L97">
        <f t="shared" si="39"/>
        <v>0.413793103448276</v>
      </c>
      <c r="M97" s="18">
        <f t="shared" si="40"/>
        <v>0.387096774193548</v>
      </c>
      <c r="N97">
        <f t="shared" si="41"/>
        <v>0.985501716901946</v>
      </c>
      <c r="O97">
        <f t="shared" si="42"/>
        <v>0.985501716901946</v>
      </c>
      <c r="P97">
        <f t="shared" si="43"/>
        <v>0.612903225806452</v>
      </c>
      <c r="Q97">
        <f t="shared" si="44"/>
        <v>0.0129919755445166</v>
      </c>
      <c r="R97">
        <f t="shared" si="45"/>
        <v>0.586206896551724</v>
      </c>
      <c r="S97">
        <f t="shared" si="46"/>
        <v>0.0144982830980542</v>
      </c>
      <c r="T97">
        <f t="shared" si="47"/>
        <v>29.7950664136622</v>
      </c>
      <c r="U97">
        <f t="shared" si="48"/>
        <v>0.621919998001823</v>
      </c>
      <c r="V97">
        <f t="shared" si="49"/>
        <v>0.154835056161476</v>
      </c>
      <c r="W97">
        <f t="shared" si="50"/>
        <v>0.25</v>
      </c>
      <c r="X97">
        <f t="shared" si="51"/>
        <v>0.4</v>
      </c>
      <c r="Y97">
        <f t="shared" si="52"/>
        <v>0.386494642095749</v>
      </c>
      <c r="Z97">
        <f t="shared" si="53"/>
        <v>0.400222407579042</v>
      </c>
      <c r="AA97">
        <f t="shared" si="54"/>
        <v>0.372598491095494</v>
      </c>
      <c r="AB97">
        <f t="shared" si="55"/>
        <v>0.399294820350222</v>
      </c>
      <c r="AC97">
        <f t="shared" si="56"/>
        <v>47.9081980148432</v>
      </c>
    </row>
    <row r="98" spans="1:29">
      <c r="A98" t="s">
        <v>29</v>
      </c>
      <c r="B98" t="s">
        <v>30</v>
      </c>
      <c r="C98" t="s">
        <v>40</v>
      </c>
      <c r="D98">
        <v>8037</v>
      </c>
      <c r="E98">
        <v>186</v>
      </c>
      <c r="F98">
        <v>15</v>
      </c>
      <c r="G98">
        <v>7764</v>
      </c>
      <c r="H98">
        <v>87</v>
      </c>
      <c r="I98">
        <v>171</v>
      </c>
      <c r="J98">
        <v>0.534781885192352</v>
      </c>
      <c r="K98">
        <f t="shared" si="38"/>
        <v>0.967898469578201</v>
      </c>
      <c r="L98">
        <f t="shared" si="39"/>
        <v>0.147058823529412</v>
      </c>
      <c r="M98" s="18">
        <f t="shared" si="40"/>
        <v>0.0806451612903226</v>
      </c>
      <c r="N98">
        <f t="shared" si="41"/>
        <v>0.978449905482042</v>
      </c>
      <c r="O98">
        <f t="shared" si="42"/>
        <v>0.978449905482042</v>
      </c>
      <c r="P98">
        <f t="shared" si="43"/>
        <v>0.919354838709677</v>
      </c>
      <c r="Q98">
        <f t="shared" si="44"/>
        <v>0.0110813909056171</v>
      </c>
      <c r="R98">
        <f t="shared" si="45"/>
        <v>0.852941176470588</v>
      </c>
      <c r="S98">
        <f t="shared" si="46"/>
        <v>0.0215500945179584</v>
      </c>
      <c r="T98">
        <f t="shared" si="47"/>
        <v>7.27753058954394</v>
      </c>
      <c r="U98">
        <f t="shared" si="48"/>
        <v>0.939603380365957</v>
      </c>
      <c r="V98">
        <f t="shared" si="49"/>
        <v>0.270439122106106</v>
      </c>
      <c r="W98">
        <f t="shared" si="50"/>
        <v>0.0549450549450549</v>
      </c>
      <c r="X98">
        <f t="shared" si="51"/>
        <v>0.104166666666667</v>
      </c>
      <c r="Y98">
        <f t="shared" si="52"/>
        <v>0.0934390732307901</v>
      </c>
      <c r="Z98">
        <f t="shared" si="53"/>
        <v>0.108901710467258</v>
      </c>
      <c r="AA98">
        <f t="shared" si="54"/>
        <v>0.0590950667723642</v>
      </c>
      <c r="AB98">
        <f t="shared" si="55"/>
        <v>0.125508729011453</v>
      </c>
      <c r="AC98">
        <f t="shared" si="56"/>
        <v>7.74532184708561</v>
      </c>
    </row>
    <row r="99" spans="1:29">
      <c r="A99" t="s">
        <v>29</v>
      </c>
      <c r="B99" t="s">
        <v>32</v>
      </c>
      <c r="C99" t="s">
        <v>40</v>
      </c>
      <c r="D99">
        <v>8037</v>
      </c>
      <c r="E99">
        <v>186</v>
      </c>
      <c r="F99">
        <v>3</v>
      </c>
      <c r="G99">
        <v>2578</v>
      </c>
      <c r="H99">
        <v>39</v>
      </c>
      <c r="I99">
        <v>59</v>
      </c>
      <c r="J99">
        <v>0.516742268295388</v>
      </c>
      <c r="K99">
        <f t="shared" ref="K99:K129" si="57">(F99+G99)/(I99+H99+G99+F99)</f>
        <v>0.963419186263531</v>
      </c>
      <c r="L99">
        <f t="shared" ref="L99:L129" si="58">IF(F99=0,0,F99/(H99+F99))</f>
        <v>0.0714285714285714</v>
      </c>
      <c r="M99" s="18">
        <f t="shared" ref="M99:M129" si="59">IF(F99=0,0,F99/(F99+I99))</f>
        <v>0.0483870967741935</v>
      </c>
      <c r="N99">
        <f t="shared" ref="N99:N129" si="60">IF(G99=0,0,G99/(I99+G99))</f>
        <v>0.977626090254077</v>
      </c>
      <c r="O99">
        <f t="shared" ref="O99:O129" si="61">G99/(I99+G99)</f>
        <v>0.977626090254077</v>
      </c>
      <c r="P99">
        <f t="shared" ref="P99:P129" si="62">I99/(I99+F99)</f>
        <v>0.951612903225806</v>
      </c>
      <c r="Q99">
        <f t="shared" ref="Q99:Q129" si="63">H99/(H99+G99)</f>
        <v>0.0149025601834161</v>
      </c>
      <c r="R99">
        <f t="shared" ref="R99:R129" si="64">IF(H99=0,0,H99/(H99+F99))</f>
        <v>0.928571428571429</v>
      </c>
      <c r="S99">
        <f t="shared" ref="S99:S129" si="65">I99/(I99+G99)</f>
        <v>0.0223739097459234</v>
      </c>
      <c r="T99">
        <f t="shared" ref="T99:T129" si="66">IF(Q99=0,0,M99/Q99)</f>
        <v>3.2468982630273</v>
      </c>
      <c r="U99">
        <f t="shared" ref="U99:U129" si="67">P99/N99</f>
        <v>0.97339147626317</v>
      </c>
      <c r="V99">
        <f t="shared" ref="V99:V129" si="68">IF(SQRT(Q99)=0,0,SQRT(Q99)/(SQRT(M99)+SQRT(Q99)))</f>
        <v>0.356898742822608</v>
      </c>
      <c r="W99">
        <f t="shared" ref="W99:W129" si="69">F99/(F99+I99+H99)</f>
        <v>0.0297029702970297</v>
      </c>
      <c r="X99">
        <f t="shared" ref="X99:X129" si="70">(2*F99)/(H99+I99+(2*F99))</f>
        <v>0.0576923076923077</v>
      </c>
      <c r="Y99">
        <f t="shared" ref="Y99:Y129" si="71">((F99*G99)-(H99*I99))/SQRT((F99+H99)*(F99+I99)*(G99+I99)*(G99+H99))</f>
        <v>0.0405286641040737</v>
      </c>
      <c r="Z99">
        <f t="shared" ref="Z99:Z129" si="72">SQRT(L99*M99)</f>
        <v>0.0587896351252215</v>
      </c>
      <c r="AA99">
        <f t="shared" ref="AA99:AA129" si="73">M99+N99-1</f>
        <v>0.0260131870282703</v>
      </c>
      <c r="AB99">
        <f t="shared" ref="AB99:AB129" si="74">L99+O99-1</f>
        <v>0.0490546616826482</v>
      </c>
      <c r="AC99">
        <f t="shared" ref="AC99:AC129" si="75">IF(U99=0,0,T99/U99)</f>
        <v>3.33565512150576</v>
      </c>
    </row>
    <row r="100" spans="1:29">
      <c r="A100" t="s">
        <v>33</v>
      </c>
      <c r="B100" t="s">
        <v>30</v>
      </c>
      <c r="C100" t="s">
        <v>40</v>
      </c>
      <c r="D100">
        <v>8037</v>
      </c>
      <c r="E100">
        <v>186</v>
      </c>
      <c r="F100">
        <v>1</v>
      </c>
      <c r="G100">
        <v>7847</v>
      </c>
      <c r="H100">
        <v>4</v>
      </c>
      <c r="I100">
        <v>185</v>
      </c>
      <c r="J100">
        <v>0.50243342742449</v>
      </c>
      <c r="K100">
        <f t="shared" si="57"/>
        <v>0.976483762597984</v>
      </c>
      <c r="L100">
        <f t="shared" si="58"/>
        <v>0.2</v>
      </c>
      <c r="M100" s="18">
        <f t="shared" si="59"/>
        <v>0.00537634408602151</v>
      </c>
      <c r="N100">
        <f t="shared" si="60"/>
        <v>0.976967131474104</v>
      </c>
      <c r="O100">
        <f t="shared" si="61"/>
        <v>0.976967131474104</v>
      </c>
      <c r="P100">
        <f t="shared" si="62"/>
        <v>0.994623655913978</v>
      </c>
      <c r="Q100">
        <f t="shared" si="63"/>
        <v>0.000509489237039868</v>
      </c>
      <c r="R100">
        <f t="shared" si="64"/>
        <v>0.8</v>
      </c>
      <c r="S100">
        <f t="shared" si="65"/>
        <v>0.0230328685258964</v>
      </c>
      <c r="T100">
        <f t="shared" si="66"/>
        <v>10.5524193548387</v>
      </c>
      <c r="U100">
        <f t="shared" si="67"/>
        <v>1.01807279269798</v>
      </c>
      <c r="V100">
        <f t="shared" si="68"/>
        <v>0.23538003073204</v>
      </c>
      <c r="W100">
        <f t="shared" si="69"/>
        <v>0.00526315789473684</v>
      </c>
      <c r="X100">
        <f t="shared" si="70"/>
        <v>0.0104712041884817</v>
      </c>
      <c r="Y100">
        <f t="shared" si="71"/>
        <v>0.0293474588665716</v>
      </c>
      <c r="Z100">
        <f t="shared" si="72"/>
        <v>0.0327912917891977</v>
      </c>
      <c r="AA100">
        <f t="shared" si="73"/>
        <v>-0.0176565244398749</v>
      </c>
      <c r="AB100">
        <f t="shared" si="74"/>
        <v>0.176967131474104</v>
      </c>
      <c r="AC100">
        <f t="shared" si="75"/>
        <v>10.3650931745989</v>
      </c>
    </row>
    <row r="101" spans="1:29">
      <c r="A101" t="s">
        <v>33</v>
      </c>
      <c r="B101" t="s">
        <v>32</v>
      </c>
      <c r="C101" t="s">
        <v>40</v>
      </c>
      <c r="D101">
        <v>8037</v>
      </c>
      <c r="E101">
        <v>186</v>
      </c>
      <c r="F101">
        <v>0</v>
      </c>
      <c r="G101">
        <v>2615</v>
      </c>
      <c r="H101">
        <v>2</v>
      </c>
      <c r="I101">
        <v>62</v>
      </c>
      <c r="J101">
        <v>0.49961788307222</v>
      </c>
      <c r="K101">
        <f t="shared" si="57"/>
        <v>0.976110488988429</v>
      </c>
      <c r="L101">
        <f t="shared" si="58"/>
        <v>0</v>
      </c>
      <c r="M101" s="18">
        <f t="shared" si="59"/>
        <v>0</v>
      </c>
      <c r="N101">
        <f t="shared" si="60"/>
        <v>0.976839745984311</v>
      </c>
      <c r="O101">
        <f t="shared" si="61"/>
        <v>0.976839745984311</v>
      </c>
      <c r="P101">
        <f t="shared" si="62"/>
        <v>1</v>
      </c>
      <c r="Q101">
        <f t="shared" si="63"/>
        <v>0.000764233855559801</v>
      </c>
      <c r="R101">
        <f t="shared" si="64"/>
        <v>1</v>
      </c>
      <c r="S101">
        <f t="shared" si="65"/>
        <v>0.0231602540156892</v>
      </c>
      <c r="T101">
        <f t="shared" si="66"/>
        <v>0</v>
      </c>
      <c r="U101">
        <f t="shared" si="67"/>
        <v>1.02370936902486</v>
      </c>
      <c r="V101">
        <f t="shared" si="68"/>
        <v>1</v>
      </c>
      <c r="W101">
        <f t="shared" si="69"/>
        <v>0</v>
      </c>
      <c r="X101">
        <f t="shared" si="70"/>
        <v>0</v>
      </c>
      <c r="Y101">
        <f t="shared" si="71"/>
        <v>-0.00420711899310615</v>
      </c>
      <c r="Z101">
        <f t="shared" si="72"/>
        <v>0</v>
      </c>
      <c r="AA101">
        <f t="shared" si="73"/>
        <v>-0.0231602540156892</v>
      </c>
      <c r="AB101">
        <f t="shared" si="74"/>
        <v>-0.0231602540156892</v>
      </c>
      <c r="AC101">
        <f t="shared" si="75"/>
        <v>0</v>
      </c>
    </row>
    <row r="102" spans="1:29">
      <c r="A102" t="s">
        <v>34</v>
      </c>
      <c r="B102" t="s">
        <v>30</v>
      </c>
      <c r="C102" t="s">
        <v>40</v>
      </c>
      <c r="D102">
        <v>8037</v>
      </c>
      <c r="E102">
        <v>186</v>
      </c>
      <c r="F102">
        <v>186</v>
      </c>
      <c r="G102">
        <v>7851</v>
      </c>
      <c r="H102">
        <v>0</v>
      </c>
      <c r="I102">
        <v>0</v>
      </c>
      <c r="J102">
        <v>1</v>
      </c>
      <c r="K102">
        <f t="shared" si="57"/>
        <v>1</v>
      </c>
      <c r="L102">
        <f t="shared" si="58"/>
        <v>1</v>
      </c>
      <c r="M102" s="18">
        <f t="shared" si="59"/>
        <v>1</v>
      </c>
      <c r="N102">
        <f t="shared" si="60"/>
        <v>1</v>
      </c>
      <c r="O102">
        <f t="shared" si="61"/>
        <v>1</v>
      </c>
      <c r="P102">
        <f t="shared" si="62"/>
        <v>0</v>
      </c>
      <c r="Q102">
        <f t="shared" si="63"/>
        <v>0</v>
      </c>
      <c r="R102">
        <f t="shared" si="64"/>
        <v>0</v>
      </c>
      <c r="S102">
        <f t="shared" si="65"/>
        <v>0</v>
      </c>
      <c r="T102">
        <f t="shared" si="66"/>
        <v>0</v>
      </c>
      <c r="U102">
        <f t="shared" si="67"/>
        <v>0</v>
      </c>
      <c r="V102">
        <f t="shared" si="68"/>
        <v>0</v>
      </c>
      <c r="W102">
        <f t="shared" si="69"/>
        <v>1</v>
      </c>
      <c r="X102">
        <f t="shared" si="70"/>
        <v>1</v>
      </c>
      <c r="Y102">
        <f t="shared" si="71"/>
        <v>1</v>
      </c>
      <c r="Z102">
        <f t="shared" si="72"/>
        <v>1</v>
      </c>
      <c r="AA102">
        <f t="shared" si="73"/>
        <v>1</v>
      </c>
      <c r="AB102">
        <f t="shared" si="74"/>
        <v>1</v>
      </c>
      <c r="AC102">
        <f t="shared" si="75"/>
        <v>0</v>
      </c>
    </row>
    <row r="103" spans="1:29">
      <c r="A103" t="s">
        <v>34</v>
      </c>
      <c r="B103" t="s">
        <v>32</v>
      </c>
      <c r="C103" t="s">
        <v>40</v>
      </c>
      <c r="D103">
        <v>8037</v>
      </c>
      <c r="E103">
        <v>186</v>
      </c>
      <c r="F103">
        <v>9</v>
      </c>
      <c r="G103">
        <v>2555</v>
      </c>
      <c r="H103">
        <v>62</v>
      </c>
      <c r="I103">
        <v>53</v>
      </c>
      <c r="J103">
        <v>0.560735020400113</v>
      </c>
      <c r="K103">
        <f t="shared" si="57"/>
        <v>0.957073534901082</v>
      </c>
      <c r="L103">
        <f t="shared" si="58"/>
        <v>0.126760563380282</v>
      </c>
      <c r="M103" s="18">
        <f t="shared" si="59"/>
        <v>0.145161290322581</v>
      </c>
      <c r="N103">
        <f t="shared" si="60"/>
        <v>0.979677914110429</v>
      </c>
      <c r="O103">
        <f t="shared" si="61"/>
        <v>0.979677914110429</v>
      </c>
      <c r="P103">
        <f t="shared" si="62"/>
        <v>0.854838709677419</v>
      </c>
      <c r="Q103">
        <f t="shared" si="63"/>
        <v>0.0236912495223538</v>
      </c>
      <c r="R103">
        <f t="shared" si="64"/>
        <v>0.873239436619718</v>
      </c>
      <c r="S103">
        <f t="shared" si="65"/>
        <v>0.0203220858895706</v>
      </c>
      <c r="T103">
        <f t="shared" si="66"/>
        <v>6.12721123829344</v>
      </c>
      <c r="U103">
        <f t="shared" si="67"/>
        <v>0.872571176062117</v>
      </c>
      <c r="V103">
        <f t="shared" si="68"/>
        <v>0.287743251227709</v>
      </c>
      <c r="W103">
        <f t="shared" si="69"/>
        <v>0.0725806451612903</v>
      </c>
      <c r="X103">
        <f t="shared" si="70"/>
        <v>0.135338345864662</v>
      </c>
      <c r="Y103">
        <f t="shared" si="71"/>
        <v>0.113706139691358</v>
      </c>
      <c r="Z103">
        <f t="shared" si="72"/>
        <v>0.135649279180904</v>
      </c>
      <c r="AA103">
        <f t="shared" si="73"/>
        <v>0.12483920443301</v>
      </c>
      <c r="AB103">
        <f t="shared" si="74"/>
        <v>0.106438477490711</v>
      </c>
      <c r="AC103">
        <f t="shared" si="75"/>
        <v>7.022018840853</v>
      </c>
    </row>
    <row r="104" spans="1:29">
      <c r="A104" t="s">
        <v>35</v>
      </c>
      <c r="B104" t="s">
        <v>30</v>
      </c>
      <c r="C104" t="s">
        <v>40</v>
      </c>
      <c r="D104">
        <v>8037</v>
      </c>
      <c r="E104">
        <v>186</v>
      </c>
      <c r="F104">
        <v>185</v>
      </c>
      <c r="G104">
        <v>7851</v>
      </c>
      <c r="H104">
        <v>0</v>
      </c>
      <c r="I104">
        <v>1</v>
      </c>
      <c r="J104">
        <v>0.997311827956989</v>
      </c>
      <c r="K104">
        <f t="shared" si="57"/>
        <v>0.999875575463481</v>
      </c>
      <c r="L104">
        <f t="shared" si="58"/>
        <v>1</v>
      </c>
      <c r="M104" s="18">
        <f t="shared" si="59"/>
        <v>0.994623655913978</v>
      </c>
      <c r="N104">
        <f t="shared" si="60"/>
        <v>0.999872643912379</v>
      </c>
      <c r="O104">
        <f t="shared" si="61"/>
        <v>0.999872643912379</v>
      </c>
      <c r="P104">
        <f t="shared" si="62"/>
        <v>0.00537634408602151</v>
      </c>
      <c r="Q104">
        <f t="shared" si="63"/>
        <v>0</v>
      </c>
      <c r="R104">
        <f t="shared" si="64"/>
        <v>0</v>
      </c>
      <c r="S104">
        <f t="shared" si="65"/>
        <v>0.000127356087620988</v>
      </c>
      <c r="T104">
        <f t="shared" si="66"/>
        <v>0</v>
      </c>
      <c r="U104">
        <f t="shared" si="67"/>
        <v>0.00537702888338312</v>
      </c>
      <c r="V104">
        <f t="shared" si="68"/>
        <v>0</v>
      </c>
      <c r="W104">
        <f t="shared" si="69"/>
        <v>0.994623655913978</v>
      </c>
      <c r="X104">
        <f t="shared" si="70"/>
        <v>0.997304582210243</v>
      </c>
      <c r="Y104">
        <f t="shared" si="71"/>
        <v>0.997244696419342</v>
      </c>
      <c r="Z104">
        <f t="shared" si="72"/>
        <v>0.997308205077036</v>
      </c>
      <c r="AA104">
        <f t="shared" si="73"/>
        <v>0.994496299826358</v>
      </c>
      <c r="AB104">
        <f t="shared" si="74"/>
        <v>0.999872643912379</v>
      </c>
      <c r="AC104">
        <f t="shared" si="75"/>
        <v>0</v>
      </c>
    </row>
    <row r="105" spans="1:29">
      <c r="A105" t="s">
        <v>35</v>
      </c>
      <c r="B105" t="s">
        <v>32</v>
      </c>
      <c r="C105" t="s">
        <v>40</v>
      </c>
      <c r="D105">
        <v>8037</v>
      </c>
      <c r="E105">
        <v>186</v>
      </c>
      <c r="F105">
        <v>1</v>
      </c>
      <c r="G105">
        <v>2616</v>
      </c>
      <c r="H105">
        <v>1</v>
      </c>
      <c r="I105">
        <v>61</v>
      </c>
      <c r="J105">
        <v>0.507873457665142</v>
      </c>
      <c r="K105">
        <f t="shared" si="57"/>
        <v>0.97685703620754</v>
      </c>
      <c r="L105">
        <f t="shared" si="58"/>
        <v>0.5</v>
      </c>
      <c r="M105" s="18">
        <f t="shared" si="59"/>
        <v>0.0161290322580645</v>
      </c>
      <c r="N105">
        <f t="shared" si="60"/>
        <v>0.977213298468435</v>
      </c>
      <c r="O105">
        <f t="shared" si="61"/>
        <v>0.977213298468435</v>
      </c>
      <c r="P105">
        <f t="shared" si="62"/>
        <v>0.983870967741935</v>
      </c>
      <c r="Q105">
        <f t="shared" si="63"/>
        <v>0.000382116927779901</v>
      </c>
      <c r="R105">
        <f t="shared" si="64"/>
        <v>0.5</v>
      </c>
      <c r="S105">
        <f t="shared" si="65"/>
        <v>0.0227867015315652</v>
      </c>
      <c r="T105">
        <f t="shared" si="66"/>
        <v>42.2096774193548</v>
      </c>
      <c r="U105">
        <f t="shared" si="67"/>
        <v>1.00681291309066</v>
      </c>
      <c r="V105">
        <f t="shared" si="68"/>
        <v>0.133388511311977</v>
      </c>
      <c r="W105">
        <f t="shared" si="69"/>
        <v>0.0158730158730159</v>
      </c>
      <c r="X105">
        <f t="shared" si="70"/>
        <v>0.03125</v>
      </c>
      <c r="Y105">
        <f t="shared" si="71"/>
        <v>0.0866870082853727</v>
      </c>
      <c r="Z105">
        <f t="shared" si="72"/>
        <v>0.0898026510133875</v>
      </c>
      <c r="AA105">
        <f t="shared" si="73"/>
        <v>-0.00665766927350064</v>
      </c>
      <c r="AB105">
        <f t="shared" si="74"/>
        <v>0.477213298468435</v>
      </c>
      <c r="AC105">
        <f t="shared" si="75"/>
        <v>41.9240524933097</v>
      </c>
    </row>
    <row r="106" spans="1:29">
      <c r="A106" t="s">
        <v>36</v>
      </c>
      <c r="B106" t="s">
        <v>30</v>
      </c>
      <c r="C106" t="s">
        <v>40</v>
      </c>
      <c r="D106">
        <v>8037</v>
      </c>
      <c r="E106">
        <v>186</v>
      </c>
      <c r="F106">
        <v>23</v>
      </c>
      <c r="G106">
        <v>7845</v>
      </c>
      <c r="H106">
        <v>6</v>
      </c>
      <c r="I106">
        <v>163</v>
      </c>
      <c r="J106">
        <v>0.561445840061467</v>
      </c>
      <c r="K106">
        <f t="shared" si="57"/>
        <v>0.978972253328356</v>
      </c>
      <c r="L106">
        <f t="shared" si="58"/>
        <v>0.793103448275862</v>
      </c>
      <c r="M106" s="18">
        <f t="shared" si="59"/>
        <v>0.123655913978495</v>
      </c>
      <c r="N106">
        <f t="shared" si="60"/>
        <v>0.979645354645355</v>
      </c>
      <c r="O106">
        <f t="shared" si="61"/>
        <v>0.979645354645355</v>
      </c>
      <c r="P106">
        <f t="shared" si="62"/>
        <v>0.876344086021505</v>
      </c>
      <c r="Q106">
        <f t="shared" si="63"/>
        <v>0.000764233855559801</v>
      </c>
      <c r="R106">
        <f t="shared" si="64"/>
        <v>0.206896551724138</v>
      </c>
      <c r="S106">
        <f t="shared" si="65"/>
        <v>0.0203546453546454</v>
      </c>
      <c r="T106">
        <f t="shared" si="66"/>
        <v>161.80376344086</v>
      </c>
      <c r="U106">
        <f t="shared" si="67"/>
        <v>0.894552382518829</v>
      </c>
      <c r="V106">
        <f t="shared" si="68"/>
        <v>0.0728851774022137</v>
      </c>
      <c r="W106">
        <f t="shared" si="69"/>
        <v>0.119791666666667</v>
      </c>
      <c r="X106">
        <f t="shared" si="70"/>
        <v>0.213953488372093</v>
      </c>
      <c r="Y106">
        <f t="shared" si="71"/>
        <v>0.308162941808348</v>
      </c>
      <c r="Z106">
        <f t="shared" si="72"/>
        <v>0.313164384590661</v>
      </c>
      <c r="AA106">
        <f t="shared" si="73"/>
        <v>0.103301268623849</v>
      </c>
      <c r="AB106">
        <f t="shared" si="74"/>
        <v>0.772748802921217</v>
      </c>
      <c r="AC106">
        <f t="shared" si="75"/>
        <v>180.876790004474</v>
      </c>
    </row>
    <row r="107" spans="1:29">
      <c r="A107" t="s">
        <v>36</v>
      </c>
      <c r="B107" t="s">
        <v>32</v>
      </c>
      <c r="C107" t="s">
        <v>40</v>
      </c>
      <c r="D107">
        <v>8037</v>
      </c>
      <c r="E107">
        <v>186</v>
      </c>
      <c r="F107">
        <v>1</v>
      </c>
      <c r="G107">
        <v>2608</v>
      </c>
      <c r="H107">
        <v>9</v>
      </c>
      <c r="I107">
        <v>61</v>
      </c>
      <c r="J107">
        <v>0.506344989954022</v>
      </c>
      <c r="K107">
        <f t="shared" si="57"/>
        <v>0.973870847331094</v>
      </c>
      <c r="L107">
        <f t="shared" si="58"/>
        <v>0.1</v>
      </c>
      <c r="M107" s="18">
        <f t="shared" si="59"/>
        <v>0.0161290322580645</v>
      </c>
      <c r="N107">
        <f t="shared" si="60"/>
        <v>0.977144998126639</v>
      </c>
      <c r="O107">
        <f t="shared" si="61"/>
        <v>0.977144998126639</v>
      </c>
      <c r="P107">
        <f t="shared" si="62"/>
        <v>0.983870967741935</v>
      </c>
      <c r="Q107">
        <f t="shared" si="63"/>
        <v>0.00343905235001911</v>
      </c>
      <c r="R107">
        <f t="shared" si="64"/>
        <v>0.9</v>
      </c>
      <c r="S107">
        <f t="shared" si="65"/>
        <v>0.0228550018733608</v>
      </c>
      <c r="T107">
        <f t="shared" si="66"/>
        <v>4.68996415770609</v>
      </c>
      <c r="U107">
        <f t="shared" si="67"/>
        <v>1.00688328715614</v>
      </c>
      <c r="V107">
        <f t="shared" si="68"/>
        <v>0.315892636817048</v>
      </c>
      <c r="W107">
        <f t="shared" si="69"/>
        <v>0.0140845070422535</v>
      </c>
      <c r="X107">
        <f t="shared" si="70"/>
        <v>0.0277777777777778</v>
      </c>
      <c r="Y107">
        <f t="shared" si="71"/>
        <v>0.0312884719382915</v>
      </c>
      <c r="Z107">
        <f t="shared" si="72"/>
        <v>0.0401609664451249</v>
      </c>
      <c r="AA107">
        <f t="shared" si="73"/>
        <v>-0.00672596961529626</v>
      </c>
      <c r="AB107">
        <f t="shared" si="74"/>
        <v>0.0771449981266392</v>
      </c>
      <c r="AC107">
        <f t="shared" si="75"/>
        <v>4.65790247740877</v>
      </c>
    </row>
    <row r="108" spans="1:29">
      <c r="A108" t="s">
        <v>37</v>
      </c>
      <c r="B108" t="s">
        <v>30</v>
      </c>
      <c r="C108" t="s">
        <v>40</v>
      </c>
      <c r="D108">
        <v>8037</v>
      </c>
      <c r="E108">
        <v>186</v>
      </c>
      <c r="F108">
        <v>49</v>
      </c>
      <c r="G108">
        <v>7402</v>
      </c>
      <c r="H108">
        <v>449</v>
      </c>
      <c r="I108">
        <v>137</v>
      </c>
      <c r="J108">
        <v>0.603125346678664</v>
      </c>
      <c r="K108">
        <f t="shared" si="57"/>
        <v>0.927087221600099</v>
      </c>
      <c r="L108">
        <f t="shared" si="58"/>
        <v>0.0983935742971888</v>
      </c>
      <c r="M108" s="18">
        <f t="shared" si="59"/>
        <v>0.263440860215054</v>
      </c>
      <c r="N108">
        <f t="shared" si="60"/>
        <v>0.981827828624486</v>
      </c>
      <c r="O108">
        <f t="shared" si="61"/>
        <v>0.981827828624486</v>
      </c>
      <c r="P108">
        <f t="shared" si="62"/>
        <v>0.736559139784946</v>
      </c>
      <c r="Q108">
        <f t="shared" si="63"/>
        <v>0.0571901668577251</v>
      </c>
      <c r="R108">
        <f t="shared" si="64"/>
        <v>0.901606425702811</v>
      </c>
      <c r="S108">
        <f t="shared" si="65"/>
        <v>0.018172171375514</v>
      </c>
      <c r="T108">
        <f t="shared" si="66"/>
        <v>4.60640132193405</v>
      </c>
      <c r="U108">
        <f t="shared" si="67"/>
        <v>0.75019175288283</v>
      </c>
      <c r="V108">
        <f t="shared" si="68"/>
        <v>0.3178384083433</v>
      </c>
      <c r="W108">
        <f t="shared" si="69"/>
        <v>0.0771653543307087</v>
      </c>
      <c r="X108">
        <f t="shared" si="70"/>
        <v>0.14327485380117</v>
      </c>
      <c r="Y108">
        <f t="shared" si="71"/>
        <v>0.12863016743631</v>
      </c>
      <c r="Z108">
        <f t="shared" si="72"/>
        <v>0.160999651715416</v>
      </c>
      <c r="AA108">
        <f t="shared" si="73"/>
        <v>0.24526868883954</v>
      </c>
      <c r="AB108">
        <f t="shared" si="74"/>
        <v>0.0802214029216748</v>
      </c>
      <c r="AC108">
        <f t="shared" si="75"/>
        <v>6.14029853598445</v>
      </c>
    </row>
    <row r="109" spans="1:29">
      <c r="A109" t="s">
        <v>37</v>
      </c>
      <c r="B109" t="s">
        <v>32</v>
      </c>
      <c r="C109" t="s">
        <v>40</v>
      </c>
      <c r="D109">
        <v>8037</v>
      </c>
      <c r="E109">
        <v>186</v>
      </c>
      <c r="F109">
        <v>14</v>
      </c>
      <c r="G109">
        <v>2439</v>
      </c>
      <c r="H109">
        <v>178</v>
      </c>
      <c r="I109">
        <v>48</v>
      </c>
      <c r="J109">
        <v>0.57889481923404</v>
      </c>
      <c r="K109">
        <f t="shared" si="57"/>
        <v>0.915640164240388</v>
      </c>
      <c r="L109">
        <f t="shared" si="58"/>
        <v>0.0729166666666667</v>
      </c>
      <c r="M109" s="18">
        <f t="shared" si="59"/>
        <v>0.225806451612903</v>
      </c>
      <c r="N109">
        <f t="shared" si="60"/>
        <v>0.980699638118215</v>
      </c>
      <c r="O109">
        <f t="shared" si="61"/>
        <v>0.980699638118215</v>
      </c>
      <c r="P109">
        <f t="shared" si="62"/>
        <v>0.774193548387097</v>
      </c>
      <c r="Q109">
        <f t="shared" si="63"/>
        <v>0.0680168131448223</v>
      </c>
      <c r="R109">
        <f t="shared" si="64"/>
        <v>0.927083333333333</v>
      </c>
      <c r="S109">
        <f t="shared" si="65"/>
        <v>0.0193003618817853</v>
      </c>
      <c r="T109">
        <f t="shared" si="66"/>
        <v>3.31986226893802</v>
      </c>
      <c r="U109">
        <f t="shared" si="67"/>
        <v>0.789429829782169</v>
      </c>
      <c r="V109">
        <f t="shared" si="68"/>
        <v>0.354352468063953</v>
      </c>
      <c r="W109">
        <f t="shared" si="69"/>
        <v>0.0583333333333333</v>
      </c>
      <c r="X109">
        <f t="shared" si="70"/>
        <v>0.110236220472441</v>
      </c>
      <c r="Y109">
        <f t="shared" si="71"/>
        <v>0.0919787874892949</v>
      </c>
      <c r="Z109">
        <f t="shared" si="72"/>
        <v>0.128316225643684</v>
      </c>
      <c r="AA109">
        <f t="shared" si="73"/>
        <v>0.206506089731118</v>
      </c>
      <c r="AB109">
        <f t="shared" si="74"/>
        <v>0.0536163047848814</v>
      </c>
      <c r="AC109">
        <f t="shared" si="75"/>
        <v>4.20539247909353</v>
      </c>
    </row>
    <row r="110" spans="1:29">
      <c r="A110" t="s">
        <v>38</v>
      </c>
      <c r="B110" t="s">
        <v>30</v>
      </c>
      <c r="C110" t="s">
        <v>40</v>
      </c>
      <c r="D110">
        <v>8037</v>
      </c>
      <c r="E110">
        <v>186</v>
      </c>
      <c r="F110">
        <v>0</v>
      </c>
      <c r="G110">
        <v>7851</v>
      </c>
      <c r="H110">
        <v>0</v>
      </c>
      <c r="I110">
        <v>186</v>
      </c>
      <c r="J110">
        <v>0.5</v>
      </c>
      <c r="K110">
        <f t="shared" si="57"/>
        <v>0.97685703620754</v>
      </c>
      <c r="L110">
        <f t="shared" si="58"/>
        <v>0</v>
      </c>
      <c r="M110" s="18">
        <f t="shared" si="59"/>
        <v>0</v>
      </c>
      <c r="N110">
        <f t="shared" si="60"/>
        <v>0.97685703620754</v>
      </c>
      <c r="O110">
        <f t="shared" si="61"/>
        <v>0.97685703620754</v>
      </c>
      <c r="P110">
        <f t="shared" si="62"/>
        <v>1</v>
      </c>
      <c r="Q110">
        <f t="shared" si="63"/>
        <v>0</v>
      </c>
      <c r="R110">
        <f t="shared" si="64"/>
        <v>0</v>
      </c>
      <c r="S110">
        <f t="shared" si="65"/>
        <v>0.0231429637924599</v>
      </c>
      <c r="T110">
        <f t="shared" si="66"/>
        <v>0</v>
      </c>
      <c r="U110">
        <f t="shared" si="67"/>
        <v>1.02369124952235</v>
      </c>
      <c r="V110">
        <f t="shared" si="68"/>
        <v>0</v>
      </c>
      <c r="W110">
        <f t="shared" si="69"/>
        <v>0</v>
      </c>
      <c r="X110">
        <f t="shared" si="70"/>
        <v>0</v>
      </c>
      <c r="Y110" t="e">
        <f t="shared" si="71"/>
        <v>#DIV/0!</v>
      </c>
      <c r="Z110">
        <f t="shared" si="72"/>
        <v>0</v>
      </c>
      <c r="AA110">
        <f t="shared" si="73"/>
        <v>-0.0231429637924598</v>
      </c>
      <c r="AB110">
        <f t="shared" si="74"/>
        <v>-0.0231429637924598</v>
      </c>
      <c r="AC110">
        <f t="shared" si="75"/>
        <v>0</v>
      </c>
    </row>
    <row r="111" spans="1:29">
      <c r="A111" t="s">
        <v>38</v>
      </c>
      <c r="B111" t="s">
        <v>32</v>
      </c>
      <c r="C111" t="s">
        <v>40</v>
      </c>
      <c r="D111">
        <v>8037</v>
      </c>
      <c r="E111">
        <v>186</v>
      </c>
      <c r="F111">
        <v>0</v>
      </c>
      <c r="G111">
        <v>2617</v>
      </c>
      <c r="H111">
        <v>0</v>
      </c>
      <c r="I111">
        <v>62</v>
      </c>
      <c r="J111">
        <v>0.5</v>
      </c>
      <c r="K111">
        <f t="shared" si="57"/>
        <v>0.97685703620754</v>
      </c>
      <c r="L111">
        <f t="shared" si="58"/>
        <v>0</v>
      </c>
      <c r="M111" s="18">
        <f t="shared" si="59"/>
        <v>0</v>
      </c>
      <c r="N111">
        <f t="shared" si="60"/>
        <v>0.97685703620754</v>
      </c>
      <c r="O111">
        <f t="shared" si="61"/>
        <v>0.97685703620754</v>
      </c>
      <c r="P111">
        <f t="shared" si="62"/>
        <v>1</v>
      </c>
      <c r="Q111">
        <f t="shared" si="63"/>
        <v>0</v>
      </c>
      <c r="R111">
        <f t="shared" si="64"/>
        <v>0</v>
      </c>
      <c r="S111">
        <f t="shared" si="65"/>
        <v>0.0231429637924599</v>
      </c>
      <c r="T111">
        <f t="shared" si="66"/>
        <v>0</v>
      </c>
      <c r="U111">
        <f t="shared" si="67"/>
        <v>1.02369124952235</v>
      </c>
      <c r="V111">
        <f t="shared" si="68"/>
        <v>0</v>
      </c>
      <c r="W111">
        <f t="shared" si="69"/>
        <v>0</v>
      </c>
      <c r="X111">
        <f t="shared" si="70"/>
        <v>0</v>
      </c>
      <c r="Y111" t="e">
        <f t="shared" si="71"/>
        <v>#DIV/0!</v>
      </c>
      <c r="Z111">
        <f t="shared" si="72"/>
        <v>0</v>
      </c>
      <c r="AA111">
        <f t="shared" si="73"/>
        <v>-0.0231429637924598</v>
      </c>
      <c r="AB111">
        <f t="shared" si="74"/>
        <v>-0.0231429637924598</v>
      </c>
      <c r="AC111">
        <f t="shared" si="75"/>
        <v>0</v>
      </c>
    </row>
    <row r="112" spans="1:29">
      <c r="A112" t="s">
        <v>39</v>
      </c>
      <c r="B112" t="s">
        <v>30</v>
      </c>
      <c r="C112" t="s">
        <v>40</v>
      </c>
      <c r="D112">
        <v>8037</v>
      </c>
      <c r="E112">
        <v>186</v>
      </c>
      <c r="F112">
        <v>164</v>
      </c>
      <c r="G112">
        <v>7848</v>
      </c>
      <c r="H112">
        <v>3</v>
      </c>
      <c r="I112">
        <v>22</v>
      </c>
      <c r="J112">
        <v>0.940669156589873</v>
      </c>
      <c r="K112">
        <f t="shared" si="57"/>
        <v>0.996889386587035</v>
      </c>
      <c r="L112">
        <f t="shared" si="58"/>
        <v>0.982035928143713</v>
      </c>
      <c r="M112" s="18">
        <f t="shared" si="59"/>
        <v>0.881720430107527</v>
      </c>
      <c r="N112">
        <f t="shared" si="60"/>
        <v>0.99720457433291</v>
      </c>
      <c r="O112">
        <f t="shared" si="61"/>
        <v>0.99720457433291</v>
      </c>
      <c r="P112">
        <f t="shared" si="62"/>
        <v>0.118279569892473</v>
      </c>
      <c r="Q112">
        <f t="shared" si="63"/>
        <v>0.000382116927779901</v>
      </c>
      <c r="R112">
        <f t="shared" si="64"/>
        <v>0.0179640718562874</v>
      </c>
      <c r="S112">
        <f t="shared" si="65"/>
        <v>0.00279542566709022</v>
      </c>
      <c r="T112">
        <f t="shared" si="66"/>
        <v>2307.4623655914</v>
      </c>
      <c r="U112">
        <f t="shared" si="67"/>
        <v>0.118611138513476</v>
      </c>
      <c r="V112">
        <f t="shared" si="68"/>
        <v>0.0203931585749407</v>
      </c>
      <c r="W112">
        <f t="shared" si="69"/>
        <v>0.867724867724868</v>
      </c>
      <c r="X112">
        <f t="shared" si="70"/>
        <v>0.929178470254957</v>
      </c>
      <c r="Y112">
        <f t="shared" si="71"/>
        <v>0.929000631135434</v>
      </c>
      <c r="Z112">
        <f t="shared" si="72"/>
        <v>0.930527345618558</v>
      </c>
      <c r="AA112">
        <f t="shared" si="73"/>
        <v>0.878925004440437</v>
      </c>
      <c r="AB112">
        <f t="shared" si="74"/>
        <v>0.979240502476622</v>
      </c>
      <c r="AC112">
        <f t="shared" si="75"/>
        <v>19454.0107658542</v>
      </c>
    </row>
    <row r="113" spans="1:29">
      <c r="A113" t="s">
        <v>39</v>
      </c>
      <c r="B113" t="s">
        <v>32</v>
      </c>
      <c r="C113" t="s">
        <v>40</v>
      </c>
      <c r="D113">
        <v>8037</v>
      </c>
      <c r="E113">
        <v>186</v>
      </c>
      <c r="F113">
        <v>14</v>
      </c>
      <c r="G113">
        <v>2599</v>
      </c>
      <c r="H113">
        <v>18</v>
      </c>
      <c r="I113">
        <v>48</v>
      </c>
      <c r="J113">
        <v>0.609464173456432</v>
      </c>
      <c r="K113">
        <f t="shared" si="57"/>
        <v>0.975363941769317</v>
      </c>
      <c r="L113">
        <f t="shared" si="58"/>
        <v>0.4375</v>
      </c>
      <c r="M113" s="18">
        <f t="shared" si="59"/>
        <v>0.225806451612903</v>
      </c>
      <c r="N113">
        <f t="shared" si="60"/>
        <v>0.981866263694749</v>
      </c>
      <c r="O113">
        <f t="shared" si="61"/>
        <v>0.981866263694749</v>
      </c>
      <c r="P113">
        <f t="shared" si="62"/>
        <v>0.774193548387097</v>
      </c>
      <c r="Q113">
        <f t="shared" si="63"/>
        <v>0.00687810470003821</v>
      </c>
      <c r="R113">
        <f t="shared" si="64"/>
        <v>0.5625</v>
      </c>
      <c r="S113">
        <f t="shared" si="65"/>
        <v>0.0181337363052512</v>
      </c>
      <c r="T113">
        <f t="shared" si="66"/>
        <v>32.8297491039427</v>
      </c>
      <c r="U113">
        <f t="shared" si="67"/>
        <v>0.78849185170475</v>
      </c>
      <c r="V113">
        <f t="shared" si="68"/>
        <v>0.148594480925939</v>
      </c>
      <c r="W113">
        <f t="shared" si="69"/>
        <v>0.175</v>
      </c>
      <c r="X113">
        <f t="shared" si="70"/>
        <v>0.297872340425532</v>
      </c>
      <c r="Y113">
        <f t="shared" si="71"/>
        <v>0.303003569057719</v>
      </c>
      <c r="Z113">
        <f t="shared" si="72"/>
        <v>0.314309278546856</v>
      </c>
      <c r="AA113">
        <f t="shared" si="73"/>
        <v>0.207672715307652</v>
      </c>
      <c r="AB113">
        <f t="shared" si="74"/>
        <v>0.419366263694749</v>
      </c>
      <c r="AC113">
        <f t="shared" si="75"/>
        <v>41.6361298255188</v>
      </c>
    </row>
    <row r="114" spans="1:29">
      <c r="A114" t="s">
        <v>29</v>
      </c>
      <c r="B114" t="s">
        <v>30</v>
      </c>
      <c r="C114" t="s">
        <v>40</v>
      </c>
      <c r="D114">
        <v>8037</v>
      </c>
      <c r="E114">
        <v>186</v>
      </c>
      <c r="F114">
        <v>8</v>
      </c>
      <c r="G114">
        <v>7773</v>
      </c>
      <c r="H114">
        <v>78</v>
      </c>
      <c r="I114">
        <v>178</v>
      </c>
      <c r="J114">
        <v>0.516537856282947</v>
      </c>
      <c r="K114">
        <f t="shared" si="57"/>
        <v>0.968147318651238</v>
      </c>
      <c r="L114">
        <f t="shared" si="58"/>
        <v>0.0930232558139535</v>
      </c>
      <c r="M114" s="18">
        <f t="shared" si="59"/>
        <v>0.043010752688172</v>
      </c>
      <c r="N114">
        <f t="shared" si="60"/>
        <v>0.977612878883159</v>
      </c>
      <c r="O114">
        <f t="shared" si="61"/>
        <v>0.977612878883159</v>
      </c>
      <c r="P114">
        <f t="shared" si="62"/>
        <v>0.956989247311828</v>
      </c>
      <c r="Q114">
        <f t="shared" si="63"/>
        <v>0.00993504012227742</v>
      </c>
      <c r="R114">
        <f t="shared" si="64"/>
        <v>0.906976744186046</v>
      </c>
      <c r="S114">
        <f t="shared" si="65"/>
        <v>0.0223871211168406</v>
      </c>
      <c r="T114">
        <f t="shared" si="66"/>
        <v>4.32919768403639</v>
      </c>
      <c r="U114">
        <f t="shared" si="67"/>
        <v>0.978904091776192</v>
      </c>
      <c r="V114">
        <f t="shared" si="68"/>
        <v>0.324604458514457</v>
      </c>
      <c r="W114">
        <f t="shared" si="69"/>
        <v>0.0303030303030303</v>
      </c>
      <c r="X114">
        <f t="shared" si="70"/>
        <v>0.0588235294117647</v>
      </c>
      <c r="Y114">
        <f t="shared" si="71"/>
        <v>0.0483357061395354</v>
      </c>
      <c r="Z114">
        <f t="shared" si="72"/>
        <v>0.0632534603801446</v>
      </c>
      <c r="AA114">
        <f t="shared" si="73"/>
        <v>0.0206236315713315</v>
      </c>
      <c r="AB114">
        <f t="shared" si="74"/>
        <v>0.0706361346971129</v>
      </c>
      <c r="AC114">
        <f t="shared" si="75"/>
        <v>4.42249421614041</v>
      </c>
    </row>
    <row r="115" spans="1:29">
      <c r="A115" t="s">
        <v>29</v>
      </c>
      <c r="B115" t="s">
        <v>32</v>
      </c>
      <c r="C115" t="s">
        <v>40</v>
      </c>
      <c r="D115">
        <v>8037</v>
      </c>
      <c r="E115">
        <v>186</v>
      </c>
      <c r="F115">
        <v>4</v>
      </c>
      <c r="G115">
        <v>2605</v>
      </c>
      <c r="H115">
        <v>12</v>
      </c>
      <c r="I115">
        <v>58</v>
      </c>
      <c r="J115">
        <v>0.529965362949449</v>
      </c>
      <c r="K115">
        <f t="shared" si="57"/>
        <v>0.973870847331094</v>
      </c>
      <c r="L115">
        <f t="shared" si="58"/>
        <v>0.25</v>
      </c>
      <c r="M115" s="18">
        <f t="shared" si="59"/>
        <v>0.0645161290322581</v>
      </c>
      <c r="N115">
        <f t="shared" si="60"/>
        <v>0.978220052572287</v>
      </c>
      <c r="O115">
        <f t="shared" si="61"/>
        <v>0.978220052572287</v>
      </c>
      <c r="P115">
        <f t="shared" si="62"/>
        <v>0.935483870967742</v>
      </c>
      <c r="Q115">
        <f t="shared" si="63"/>
        <v>0.00458540313335881</v>
      </c>
      <c r="R115">
        <f t="shared" si="64"/>
        <v>0.75</v>
      </c>
      <c r="S115">
        <f t="shared" si="65"/>
        <v>0.0217799474277131</v>
      </c>
      <c r="T115">
        <f t="shared" si="66"/>
        <v>14.0698924731183</v>
      </c>
      <c r="U115">
        <f t="shared" si="67"/>
        <v>0.956312302643799</v>
      </c>
      <c r="V115">
        <f t="shared" si="68"/>
        <v>0.210482644691764</v>
      </c>
      <c r="W115">
        <f t="shared" si="69"/>
        <v>0.0540540540540541</v>
      </c>
      <c r="X115">
        <f t="shared" si="70"/>
        <v>0.102564102564103</v>
      </c>
      <c r="Y115">
        <f t="shared" si="71"/>
        <v>0.116950388692565</v>
      </c>
      <c r="Z115">
        <f t="shared" si="72"/>
        <v>0.127000127000191</v>
      </c>
      <c r="AA115">
        <f t="shared" si="73"/>
        <v>0.0427361816045451</v>
      </c>
      <c r="AB115">
        <f t="shared" si="74"/>
        <v>0.228220052572287</v>
      </c>
      <c r="AC115">
        <f t="shared" si="75"/>
        <v>14.7126544688602</v>
      </c>
    </row>
    <row r="116" spans="1:29">
      <c r="A116" t="s">
        <v>33</v>
      </c>
      <c r="B116" t="s">
        <v>30</v>
      </c>
      <c r="C116" t="s">
        <v>40</v>
      </c>
      <c r="D116">
        <v>8037</v>
      </c>
      <c r="E116">
        <v>186</v>
      </c>
      <c r="F116">
        <v>1</v>
      </c>
      <c r="G116">
        <v>7851</v>
      </c>
      <c r="H116">
        <v>0</v>
      </c>
      <c r="I116">
        <v>185</v>
      </c>
      <c r="J116">
        <v>0.50268817204301</v>
      </c>
      <c r="K116">
        <f t="shared" si="57"/>
        <v>0.976981460744059</v>
      </c>
      <c r="L116">
        <f t="shared" si="58"/>
        <v>1</v>
      </c>
      <c r="M116" s="18">
        <f t="shared" si="59"/>
        <v>0.00537634408602151</v>
      </c>
      <c r="N116">
        <f t="shared" si="60"/>
        <v>0.976978596316575</v>
      </c>
      <c r="O116">
        <f t="shared" si="61"/>
        <v>0.976978596316575</v>
      </c>
      <c r="P116">
        <f t="shared" si="62"/>
        <v>0.994623655913978</v>
      </c>
      <c r="Q116">
        <f t="shared" si="63"/>
        <v>0</v>
      </c>
      <c r="R116">
        <f t="shared" si="64"/>
        <v>0</v>
      </c>
      <c r="S116">
        <f t="shared" si="65"/>
        <v>0.0230214036834246</v>
      </c>
      <c r="T116">
        <f t="shared" si="66"/>
        <v>0</v>
      </c>
      <c r="U116">
        <f t="shared" si="67"/>
        <v>1.01806084561517</v>
      </c>
      <c r="V116">
        <f t="shared" si="68"/>
        <v>0</v>
      </c>
      <c r="W116">
        <f t="shared" si="69"/>
        <v>0.00537634408602151</v>
      </c>
      <c r="X116">
        <f t="shared" si="70"/>
        <v>0.0106951871657754</v>
      </c>
      <c r="Y116">
        <f t="shared" si="71"/>
        <v>0.0724746376222483</v>
      </c>
      <c r="Z116">
        <f t="shared" si="72"/>
        <v>0.0733235575106767</v>
      </c>
      <c r="AA116">
        <f t="shared" si="73"/>
        <v>-0.017645059597403</v>
      </c>
      <c r="AB116">
        <f t="shared" si="74"/>
        <v>0.976978596316576</v>
      </c>
      <c r="AC116">
        <f t="shared" si="75"/>
        <v>0</v>
      </c>
    </row>
    <row r="117" spans="1:29">
      <c r="A117" t="s">
        <v>33</v>
      </c>
      <c r="B117" t="s">
        <v>32</v>
      </c>
      <c r="C117" t="s">
        <v>40</v>
      </c>
      <c r="D117">
        <v>8037</v>
      </c>
      <c r="E117">
        <v>186</v>
      </c>
      <c r="F117">
        <v>0</v>
      </c>
      <c r="G117">
        <v>2617</v>
      </c>
      <c r="H117">
        <v>0</v>
      </c>
      <c r="I117">
        <v>62</v>
      </c>
      <c r="J117">
        <v>0.5</v>
      </c>
      <c r="K117">
        <f t="shared" si="57"/>
        <v>0.97685703620754</v>
      </c>
      <c r="L117">
        <f t="shared" si="58"/>
        <v>0</v>
      </c>
      <c r="M117" s="18">
        <f t="shared" si="59"/>
        <v>0</v>
      </c>
      <c r="N117">
        <f t="shared" si="60"/>
        <v>0.97685703620754</v>
      </c>
      <c r="O117">
        <f t="shared" si="61"/>
        <v>0.97685703620754</v>
      </c>
      <c r="P117">
        <f t="shared" si="62"/>
        <v>1</v>
      </c>
      <c r="Q117">
        <f t="shared" si="63"/>
        <v>0</v>
      </c>
      <c r="R117">
        <f t="shared" si="64"/>
        <v>0</v>
      </c>
      <c r="S117">
        <f t="shared" si="65"/>
        <v>0.0231429637924599</v>
      </c>
      <c r="T117">
        <f t="shared" si="66"/>
        <v>0</v>
      </c>
      <c r="U117">
        <f t="shared" si="67"/>
        <v>1.02369124952235</v>
      </c>
      <c r="V117">
        <f t="shared" si="68"/>
        <v>0</v>
      </c>
      <c r="W117">
        <f t="shared" si="69"/>
        <v>0</v>
      </c>
      <c r="X117">
        <f t="shared" si="70"/>
        <v>0</v>
      </c>
      <c r="Y117" t="e">
        <f t="shared" si="71"/>
        <v>#DIV/0!</v>
      </c>
      <c r="Z117">
        <f t="shared" si="72"/>
        <v>0</v>
      </c>
      <c r="AA117">
        <f t="shared" si="73"/>
        <v>-0.0231429637924598</v>
      </c>
      <c r="AB117">
        <f t="shared" si="74"/>
        <v>-0.0231429637924598</v>
      </c>
      <c r="AC117">
        <f t="shared" si="75"/>
        <v>0</v>
      </c>
    </row>
    <row r="118" spans="1:29">
      <c r="A118" t="s">
        <v>34</v>
      </c>
      <c r="B118" t="s">
        <v>30</v>
      </c>
      <c r="C118" t="s">
        <v>40</v>
      </c>
      <c r="D118">
        <v>8037</v>
      </c>
      <c r="E118">
        <v>186</v>
      </c>
      <c r="F118">
        <v>186</v>
      </c>
      <c r="G118">
        <v>7851</v>
      </c>
      <c r="H118">
        <v>0</v>
      </c>
      <c r="I118">
        <v>0</v>
      </c>
      <c r="J118">
        <v>1</v>
      </c>
      <c r="K118">
        <f t="shared" si="57"/>
        <v>1</v>
      </c>
      <c r="L118">
        <f t="shared" si="58"/>
        <v>1</v>
      </c>
      <c r="M118" s="18">
        <f t="shared" si="59"/>
        <v>1</v>
      </c>
      <c r="N118">
        <f t="shared" si="60"/>
        <v>1</v>
      </c>
      <c r="O118">
        <f t="shared" si="61"/>
        <v>1</v>
      </c>
      <c r="P118">
        <f t="shared" si="62"/>
        <v>0</v>
      </c>
      <c r="Q118">
        <f t="shared" si="63"/>
        <v>0</v>
      </c>
      <c r="R118">
        <f t="shared" si="64"/>
        <v>0</v>
      </c>
      <c r="S118">
        <f t="shared" si="65"/>
        <v>0</v>
      </c>
      <c r="T118">
        <f t="shared" si="66"/>
        <v>0</v>
      </c>
      <c r="U118">
        <f t="shared" si="67"/>
        <v>0</v>
      </c>
      <c r="V118">
        <f t="shared" si="68"/>
        <v>0</v>
      </c>
      <c r="W118">
        <f t="shared" si="69"/>
        <v>1</v>
      </c>
      <c r="X118">
        <f t="shared" si="70"/>
        <v>1</v>
      </c>
      <c r="Y118">
        <f t="shared" si="71"/>
        <v>1</v>
      </c>
      <c r="Z118">
        <f t="shared" si="72"/>
        <v>1</v>
      </c>
      <c r="AA118">
        <f t="shared" si="73"/>
        <v>1</v>
      </c>
      <c r="AB118">
        <f t="shared" si="74"/>
        <v>1</v>
      </c>
      <c r="AC118">
        <f t="shared" si="75"/>
        <v>0</v>
      </c>
    </row>
    <row r="119" spans="1:29">
      <c r="A119" t="s">
        <v>34</v>
      </c>
      <c r="B119" t="s">
        <v>32</v>
      </c>
      <c r="C119" t="s">
        <v>40</v>
      </c>
      <c r="D119">
        <v>8037</v>
      </c>
      <c r="E119">
        <v>186</v>
      </c>
      <c r="F119">
        <v>5</v>
      </c>
      <c r="G119">
        <v>2568</v>
      </c>
      <c r="H119">
        <v>49</v>
      </c>
      <c r="I119">
        <v>57</v>
      </c>
      <c r="J119">
        <v>0.530960715914553</v>
      </c>
      <c r="K119">
        <f t="shared" si="57"/>
        <v>0.960432997387085</v>
      </c>
      <c r="L119">
        <f t="shared" si="58"/>
        <v>0.0925925925925926</v>
      </c>
      <c r="M119" s="18">
        <f t="shared" si="59"/>
        <v>0.0806451612903226</v>
      </c>
      <c r="N119">
        <f t="shared" si="60"/>
        <v>0.978285714285714</v>
      </c>
      <c r="O119">
        <f t="shared" si="61"/>
        <v>0.978285714285714</v>
      </c>
      <c r="P119">
        <f t="shared" si="62"/>
        <v>0.919354838709677</v>
      </c>
      <c r="Q119">
        <f t="shared" si="63"/>
        <v>0.0187237294612151</v>
      </c>
      <c r="R119">
        <f t="shared" si="64"/>
        <v>0.907407407407407</v>
      </c>
      <c r="S119">
        <f t="shared" si="65"/>
        <v>0.0217142857142857</v>
      </c>
      <c r="T119">
        <f t="shared" si="66"/>
        <v>4.30710994075049</v>
      </c>
      <c r="U119">
        <f t="shared" si="67"/>
        <v>0.939761079288514</v>
      </c>
      <c r="V119">
        <f t="shared" si="68"/>
        <v>0.325165417983734</v>
      </c>
      <c r="W119">
        <f t="shared" si="69"/>
        <v>0.045045045045045</v>
      </c>
      <c r="X119">
        <f t="shared" si="70"/>
        <v>0.0862068965517241</v>
      </c>
      <c r="Y119">
        <f t="shared" si="71"/>
        <v>0.0662486697793068</v>
      </c>
      <c r="Z119">
        <f t="shared" si="72"/>
        <v>0.0864126412275354</v>
      </c>
      <c r="AA119">
        <f t="shared" si="73"/>
        <v>0.0589308755760369</v>
      </c>
      <c r="AB119">
        <f t="shared" si="74"/>
        <v>0.070878306878307</v>
      </c>
      <c r="AC119">
        <f t="shared" si="75"/>
        <v>4.58319676742878</v>
      </c>
    </row>
    <row r="120" spans="1:29">
      <c r="A120" t="s">
        <v>35</v>
      </c>
      <c r="B120" t="s">
        <v>30</v>
      </c>
      <c r="C120" t="s">
        <v>40</v>
      </c>
      <c r="D120">
        <v>8037</v>
      </c>
      <c r="E120">
        <v>186</v>
      </c>
      <c r="F120">
        <v>186</v>
      </c>
      <c r="G120">
        <v>7851</v>
      </c>
      <c r="H120">
        <v>0</v>
      </c>
      <c r="I120">
        <v>0</v>
      </c>
      <c r="J120">
        <v>1</v>
      </c>
      <c r="K120">
        <f t="shared" si="57"/>
        <v>1</v>
      </c>
      <c r="L120">
        <f t="shared" si="58"/>
        <v>1</v>
      </c>
      <c r="M120" s="18">
        <f t="shared" si="59"/>
        <v>1</v>
      </c>
      <c r="N120">
        <f t="shared" si="60"/>
        <v>1</v>
      </c>
      <c r="O120">
        <f t="shared" si="61"/>
        <v>1</v>
      </c>
      <c r="P120">
        <f t="shared" si="62"/>
        <v>0</v>
      </c>
      <c r="Q120">
        <f t="shared" si="63"/>
        <v>0</v>
      </c>
      <c r="R120">
        <f t="shared" si="64"/>
        <v>0</v>
      </c>
      <c r="S120">
        <f t="shared" si="65"/>
        <v>0</v>
      </c>
      <c r="T120">
        <f t="shared" si="66"/>
        <v>0</v>
      </c>
      <c r="U120">
        <f t="shared" si="67"/>
        <v>0</v>
      </c>
      <c r="V120">
        <f t="shared" si="68"/>
        <v>0</v>
      </c>
      <c r="W120">
        <f t="shared" si="69"/>
        <v>1</v>
      </c>
      <c r="X120">
        <f t="shared" si="70"/>
        <v>1</v>
      </c>
      <c r="Y120">
        <f t="shared" si="71"/>
        <v>1</v>
      </c>
      <c r="Z120">
        <f t="shared" si="72"/>
        <v>1</v>
      </c>
      <c r="AA120">
        <f t="shared" si="73"/>
        <v>1</v>
      </c>
      <c r="AB120">
        <f t="shared" si="74"/>
        <v>1</v>
      </c>
      <c r="AC120">
        <f t="shared" si="75"/>
        <v>0</v>
      </c>
    </row>
    <row r="121" spans="1:29">
      <c r="A121" t="s">
        <v>35</v>
      </c>
      <c r="B121" t="s">
        <v>32</v>
      </c>
      <c r="C121" t="s">
        <v>40</v>
      </c>
      <c r="D121">
        <v>8037</v>
      </c>
      <c r="E121">
        <v>186</v>
      </c>
      <c r="F121">
        <v>1</v>
      </c>
      <c r="G121">
        <v>2617</v>
      </c>
      <c r="H121">
        <v>0</v>
      </c>
      <c r="I121">
        <v>61</v>
      </c>
      <c r="J121">
        <v>0.508064516129032</v>
      </c>
      <c r="K121">
        <f t="shared" si="57"/>
        <v>0.977230309817096</v>
      </c>
      <c r="L121">
        <f t="shared" si="58"/>
        <v>1</v>
      </c>
      <c r="M121" s="18">
        <f t="shared" si="59"/>
        <v>0.0161290322580645</v>
      </c>
      <c r="N121">
        <f t="shared" si="60"/>
        <v>0.977221807318895</v>
      </c>
      <c r="O121">
        <f t="shared" si="61"/>
        <v>0.977221807318895</v>
      </c>
      <c r="P121">
        <f t="shared" si="62"/>
        <v>0.983870967741935</v>
      </c>
      <c r="Q121">
        <f t="shared" si="63"/>
        <v>0</v>
      </c>
      <c r="R121">
        <f t="shared" si="64"/>
        <v>0</v>
      </c>
      <c r="S121">
        <f t="shared" si="65"/>
        <v>0.0227781926811053</v>
      </c>
      <c r="T121">
        <f t="shared" si="66"/>
        <v>0</v>
      </c>
      <c r="U121">
        <f t="shared" si="67"/>
        <v>1.00680414658498</v>
      </c>
      <c r="V121">
        <f t="shared" si="68"/>
        <v>0</v>
      </c>
      <c r="W121">
        <f t="shared" si="69"/>
        <v>0.0161290322580645</v>
      </c>
      <c r="X121">
        <f t="shared" si="70"/>
        <v>0.0317460317460317</v>
      </c>
      <c r="Y121">
        <f t="shared" si="71"/>
        <v>0.125545378463449</v>
      </c>
      <c r="Z121">
        <f t="shared" si="72"/>
        <v>0.127000127000191</v>
      </c>
      <c r="AA121">
        <f t="shared" si="73"/>
        <v>-0.00664916042304076</v>
      </c>
      <c r="AB121">
        <f t="shared" si="74"/>
        <v>0.977221807318895</v>
      </c>
      <c r="AC121">
        <f t="shared" si="75"/>
        <v>0</v>
      </c>
    </row>
    <row r="122" spans="1:29">
      <c r="A122" t="s">
        <v>36</v>
      </c>
      <c r="B122" t="s">
        <v>30</v>
      </c>
      <c r="C122" t="s">
        <v>40</v>
      </c>
      <c r="D122">
        <v>8037</v>
      </c>
      <c r="E122">
        <v>186</v>
      </c>
      <c r="F122">
        <v>19</v>
      </c>
      <c r="G122">
        <v>7842</v>
      </c>
      <c r="H122">
        <v>9</v>
      </c>
      <c r="I122">
        <v>167</v>
      </c>
      <c r="J122">
        <v>0.550502093425534</v>
      </c>
      <c r="K122">
        <f t="shared" si="57"/>
        <v>0.978101281572726</v>
      </c>
      <c r="L122">
        <f t="shared" si="58"/>
        <v>0.678571428571429</v>
      </c>
      <c r="M122" s="18">
        <f t="shared" si="59"/>
        <v>0.102150537634409</v>
      </c>
      <c r="N122">
        <f t="shared" si="60"/>
        <v>0.979148457984767</v>
      </c>
      <c r="O122">
        <f t="shared" si="61"/>
        <v>0.979148457984767</v>
      </c>
      <c r="P122">
        <f t="shared" si="62"/>
        <v>0.897849462365591</v>
      </c>
      <c r="Q122">
        <f t="shared" si="63"/>
        <v>0.0011463507833397</v>
      </c>
      <c r="R122">
        <f t="shared" si="64"/>
        <v>0.321428571428571</v>
      </c>
      <c r="S122">
        <f t="shared" si="65"/>
        <v>0.0208515420152329</v>
      </c>
      <c r="T122">
        <f t="shared" si="66"/>
        <v>89.1093189964158</v>
      </c>
      <c r="U122">
        <f t="shared" si="67"/>
        <v>0.916969694476667</v>
      </c>
      <c r="V122">
        <f t="shared" si="68"/>
        <v>0.0957875210628835</v>
      </c>
      <c r="W122">
        <f t="shared" si="69"/>
        <v>0.0974358974358974</v>
      </c>
      <c r="X122">
        <f t="shared" si="70"/>
        <v>0.177570093457944</v>
      </c>
      <c r="Y122">
        <f t="shared" si="71"/>
        <v>0.257744955949454</v>
      </c>
      <c r="Z122">
        <f t="shared" si="72"/>
        <v>0.263280147850004</v>
      </c>
      <c r="AA122">
        <f t="shared" si="73"/>
        <v>0.0812989956191756</v>
      </c>
      <c r="AB122">
        <f t="shared" si="74"/>
        <v>0.657719886556196</v>
      </c>
      <c r="AC122">
        <f t="shared" si="75"/>
        <v>97.1780414698135</v>
      </c>
    </row>
    <row r="123" spans="1:29">
      <c r="A123" t="s">
        <v>36</v>
      </c>
      <c r="B123" t="s">
        <v>32</v>
      </c>
      <c r="C123" t="s">
        <v>40</v>
      </c>
      <c r="D123">
        <v>8037</v>
      </c>
      <c r="E123">
        <v>186</v>
      </c>
      <c r="F123">
        <v>5</v>
      </c>
      <c r="G123">
        <v>2615</v>
      </c>
      <c r="H123">
        <v>2</v>
      </c>
      <c r="I123">
        <v>57</v>
      </c>
      <c r="J123">
        <v>0.539940463717381</v>
      </c>
      <c r="K123">
        <f t="shared" si="57"/>
        <v>0.977976857036208</v>
      </c>
      <c r="L123">
        <f t="shared" si="58"/>
        <v>0.714285714285714</v>
      </c>
      <c r="M123" s="18">
        <f t="shared" si="59"/>
        <v>0.0806451612903226</v>
      </c>
      <c r="N123">
        <f t="shared" si="60"/>
        <v>0.978667664670659</v>
      </c>
      <c r="O123">
        <f t="shared" si="61"/>
        <v>0.978667664670659</v>
      </c>
      <c r="P123">
        <f t="shared" si="62"/>
        <v>0.919354838709677</v>
      </c>
      <c r="Q123">
        <f t="shared" si="63"/>
        <v>0.000764233855559801</v>
      </c>
      <c r="R123">
        <f t="shared" si="64"/>
        <v>0.285714285714286</v>
      </c>
      <c r="S123">
        <f t="shared" si="65"/>
        <v>0.0213323353293413</v>
      </c>
      <c r="T123">
        <f t="shared" si="66"/>
        <v>105.524193548387</v>
      </c>
      <c r="U123">
        <f t="shared" si="67"/>
        <v>0.939394313205452</v>
      </c>
      <c r="V123">
        <f t="shared" si="68"/>
        <v>0.0887114899747217</v>
      </c>
      <c r="W123">
        <f t="shared" si="69"/>
        <v>0.078125</v>
      </c>
      <c r="X123">
        <f t="shared" si="70"/>
        <v>0.144927536231884</v>
      </c>
      <c r="Y123">
        <f t="shared" si="71"/>
        <v>0.235273794928563</v>
      </c>
      <c r="Z123">
        <f t="shared" si="72"/>
        <v>0.24000768036866</v>
      </c>
      <c r="AA123">
        <f t="shared" si="73"/>
        <v>0.0593128259609812</v>
      </c>
      <c r="AB123">
        <f t="shared" si="74"/>
        <v>0.692953378956373</v>
      </c>
      <c r="AC123">
        <f t="shared" si="75"/>
        <v>112.332161335224</v>
      </c>
    </row>
    <row r="124" spans="1:29">
      <c r="A124" t="s">
        <v>37</v>
      </c>
      <c r="B124" t="s">
        <v>30</v>
      </c>
      <c r="C124" t="s">
        <v>40</v>
      </c>
      <c r="D124">
        <v>8037</v>
      </c>
      <c r="E124">
        <v>186</v>
      </c>
      <c r="F124">
        <v>46</v>
      </c>
      <c r="G124">
        <v>7406</v>
      </c>
      <c r="H124">
        <v>445</v>
      </c>
      <c r="I124">
        <v>140</v>
      </c>
      <c r="J124">
        <v>0.595315575168152</v>
      </c>
      <c r="K124">
        <f t="shared" si="57"/>
        <v>0.927211646136618</v>
      </c>
      <c r="L124">
        <f t="shared" si="58"/>
        <v>0.0936863543788187</v>
      </c>
      <c r="M124" s="18">
        <f t="shared" si="59"/>
        <v>0.247311827956989</v>
      </c>
      <c r="N124">
        <f t="shared" si="60"/>
        <v>0.981447124304267</v>
      </c>
      <c r="O124">
        <f t="shared" si="61"/>
        <v>0.981447124304267</v>
      </c>
      <c r="P124">
        <f t="shared" si="62"/>
        <v>0.752688172043011</v>
      </c>
      <c r="Q124">
        <f t="shared" si="63"/>
        <v>0.0566806776206853</v>
      </c>
      <c r="R124">
        <f t="shared" si="64"/>
        <v>0.906313645621181</v>
      </c>
      <c r="S124">
        <f t="shared" si="65"/>
        <v>0.0185528756957328</v>
      </c>
      <c r="T124">
        <f t="shared" si="66"/>
        <v>4.3632475534614</v>
      </c>
      <c r="U124">
        <f t="shared" si="67"/>
        <v>0.766916681911499</v>
      </c>
      <c r="V124">
        <f t="shared" si="68"/>
        <v>0.323746256478886</v>
      </c>
      <c r="W124">
        <f t="shared" si="69"/>
        <v>0.0729001584786054</v>
      </c>
      <c r="X124">
        <f t="shared" si="70"/>
        <v>0.13589364844904</v>
      </c>
      <c r="Y124">
        <f t="shared" si="71"/>
        <v>0.119677823635479</v>
      </c>
      <c r="Z124">
        <f t="shared" si="72"/>
        <v>0.152216108070243</v>
      </c>
      <c r="AA124">
        <f t="shared" si="73"/>
        <v>0.228758952261257</v>
      </c>
      <c r="AB124">
        <f t="shared" si="74"/>
        <v>0.075133478683086</v>
      </c>
      <c r="AC124">
        <f t="shared" si="75"/>
        <v>5.68933712927751</v>
      </c>
    </row>
    <row r="125" spans="1:29">
      <c r="A125" t="s">
        <v>37</v>
      </c>
      <c r="B125" t="s">
        <v>32</v>
      </c>
      <c r="C125" t="s">
        <v>40</v>
      </c>
      <c r="D125">
        <v>8037</v>
      </c>
      <c r="E125">
        <v>186</v>
      </c>
      <c r="F125">
        <v>14</v>
      </c>
      <c r="G125">
        <v>2469</v>
      </c>
      <c r="H125">
        <v>148</v>
      </c>
      <c r="I125">
        <v>48</v>
      </c>
      <c r="J125">
        <v>0.584626573150739</v>
      </c>
      <c r="K125">
        <f t="shared" si="57"/>
        <v>0.926838372527062</v>
      </c>
      <c r="L125">
        <f t="shared" si="58"/>
        <v>0.0864197530864197</v>
      </c>
      <c r="M125" s="18">
        <f t="shared" si="59"/>
        <v>0.225806451612903</v>
      </c>
      <c r="N125">
        <f t="shared" si="60"/>
        <v>0.980929678188319</v>
      </c>
      <c r="O125">
        <f t="shared" si="61"/>
        <v>0.980929678188319</v>
      </c>
      <c r="P125">
        <f t="shared" si="62"/>
        <v>0.774193548387097</v>
      </c>
      <c r="Q125">
        <f t="shared" si="63"/>
        <v>0.0565533053114253</v>
      </c>
      <c r="R125">
        <f t="shared" si="64"/>
        <v>0.91358024691358</v>
      </c>
      <c r="S125">
        <f t="shared" si="65"/>
        <v>0.0190703218116806</v>
      </c>
      <c r="T125">
        <f t="shared" si="66"/>
        <v>3.99280732345248</v>
      </c>
      <c r="U125">
        <f t="shared" si="67"/>
        <v>0.789244698781014</v>
      </c>
      <c r="V125">
        <f t="shared" si="68"/>
        <v>0.33353333973767</v>
      </c>
      <c r="W125">
        <f t="shared" si="69"/>
        <v>0.0666666666666667</v>
      </c>
      <c r="X125">
        <f t="shared" si="70"/>
        <v>0.125</v>
      </c>
      <c r="Y125">
        <f t="shared" si="71"/>
        <v>0.106766582528733</v>
      </c>
      <c r="Z125">
        <f t="shared" si="72"/>
        <v>0.139693012687492</v>
      </c>
      <c r="AA125">
        <f t="shared" si="73"/>
        <v>0.206736129801223</v>
      </c>
      <c r="AB125">
        <f t="shared" si="74"/>
        <v>0.0673494312747391</v>
      </c>
      <c r="AC125">
        <f t="shared" si="75"/>
        <v>5.05902330369702</v>
      </c>
    </row>
    <row r="126" spans="1:29">
      <c r="A126" t="s">
        <v>38</v>
      </c>
      <c r="B126" t="s">
        <v>30</v>
      </c>
      <c r="C126" t="s">
        <v>40</v>
      </c>
      <c r="D126">
        <v>8037</v>
      </c>
      <c r="E126">
        <v>186</v>
      </c>
      <c r="F126">
        <v>0</v>
      </c>
      <c r="G126">
        <v>7851</v>
      </c>
      <c r="H126">
        <v>0</v>
      </c>
      <c r="I126">
        <v>186</v>
      </c>
      <c r="J126">
        <v>0.5</v>
      </c>
      <c r="K126">
        <f t="shared" si="57"/>
        <v>0.97685703620754</v>
      </c>
      <c r="L126">
        <f t="shared" si="58"/>
        <v>0</v>
      </c>
      <c r="M126" s="18">
        <f t="shared" si="59"/>
        <v>0</v>
      </c>
      <c r="N126">
        <f t="shared" si="60"/>
        <v>0.97685703620754</v>
      </c>
      <c r="O126">
        <f t="shared" si="61"/>
        <v>0.97685703620754</v>
      </c>
      <c r="P126">
        <f t="shared" si="62"/>
        <v>1</v>
      </c>
      <c r="Q126">
        <f t="shared" si="63"/>
        <v>0</v>
      </c>
      <c r="R126">
        <f t="shared" si="64"/>
        <v>0</v>
      </c>
      <c r="S126">
        <f t="shared" si="65"/>
        <v>0.0231429637924599</v>
      </c>
      <c r="T126">
        <f t="shared" si="66"/>
        <v>0</v>
      </c>
      <c r="U126">
        <f t="shared" si="67"/>
        <v>1.02369124952235</v>
      </c>
      <c r="V126">
        <f t="shared" si="68"/>
        <v>0</v>
      </c>
      <c r="W126">
        <f t="shared" si="69"/>
        <v>0</v>
      </c>
      <c r="X126">
        <f t="shared" si="70"/>
        <v>0</v>
      </c>
      <c r="Y126" t="e">
        <f t="shared" si="71"/>
        <v>#DIV/0!</v>
      </c>
      <c r="Z126">
        <f t="shared" si="72"/>
        <v>0</v>
      </c>
      <c r="AA126">
        <f t="shared" si="73"/>
        <v>-0.0231429637924598</v>
      </c>
      <c r="AB126">
        <f t="shared" si="74"/>
        <v>-0.0231429637924598</v>
      </c>
      <c r="AC126">
        <f t="shared" si="75"/>
        <v>0</v>
      </c>
    </row>
    <row r="127" spans="1:29">
      <c r="A127" t="s">
        <v>38</v>
      </c>
      <c r="B127" t="s">
        <v>32</v>
      </c>
      <c r="C127" t="s">
        <v>40</v>
      </c>
      <c r="D127">
        <v>8037</v>
      </c>
      <c r="E127">
        <v>186</v>
      </c>
      <c r="F127">
        <v>0</v>
      </c>
      <c r="G127">
        <v>2617</v>
      </c>
      <c r="H127">
        <v>0</v>
      </c>
      <c r="I127">
        <v>62</v>
      </c>
      <c r="J127">
        <v>0.5</v>
      </c>
      <c r="K127">
        <f t="shared" si="57"/>
        <v>0.97685703620754</v>
      </c>
      <c r="L127">
        <f t="shared" si="58"/>
        <v>0</v>
      </c>
      <c r="M127" s="18">
        <f t="shared" si="59"/>
        <v>0</v>
      </c>
      <c r="N127">
        <f t="shared" si="60"/>
        <v>0.97685703620754</v>
      </c>
      <c r="O127">
        <f t="shared" si="61"/>
        <v>0.97685703620754</v>
      </c>
      <c r="P127">
        <f t="shared" si="62"/>
        <v>1</v>
      </c>
      <c r="Q127">
        <f t="shared" si="63"/>
        <v>0</v>
      </c>
      <c r="R127">
        <f t="shared" si="64"/>
        <v>0</v>
      </c>
      <c r="S127">
        <f t="shared" si="65"/>
        <v>0.0231429637924599</v>
      </c>
      <c r="T127">
        <f t="shared" si="66"/>
        <v>0</v>
      </c>
      <c r="U127">
        <f t="shared" si="67"/>
        <v>1.02369124952235</v>
      </c>
      <c r="V127">
        <f t="shared" si="68"/>
        <v>0</v>
      </c>
      <c r="W127">
        <f t="shared" si="69"/>
        <v>0</v>
      </c>
      <c r="X127">
        <f t="shared" si="70"/>
        <v>0</v>
      </c>
      <c r="Y127" t="e">
        <f t="shared" si="71"/>
        <v>#DIV/0!</v>
      </c>
      <c r="Z127">
        <f t="shared" si="72"/>
        <v>0</v>
      </c>
      <c r="AA127">
        <f t="shared" si="73"/>
        <v>-0.0231429637924598</v>
      </c>
      <c r="AB127">
        <f t="shared" si="74"/>
        <v>-0.0231429637924598</v>
      </c>
      <c r="AC127">
        <f t="shared" si="75"/>
        <v>0</v>
      </c>
    </row>
    <row r="128" spans="1:29">
      <c r="A128" t="s">
        <v>39</v>
      </c>
      <c r="B128" t="s">
        <v>30</v>
      </c>
      <c r="C128" t="s">
        <v>40</v>
      </c>
      <c r="D128">
        <v>8037</v>
      </c>
      <c r="E128">
        <v>186</v>
      </c>
      <c r="F128">
        <v>170</v>
      </c>
      <c r="G128">
        <v>7790</v>
      </c>
      <c r="H128">
        <v>61</v>
      </c>
      <c r="I128">
        <v>16</v>
      </c>
      <c r="J128">
        <v>0.953104391879399</v>
      </c>
      <c r="K128">
        <f t="shared" si="57"/>
        <v>0.990419310688068</v>
      </c>
      <c r="L128">
        <f t="shared" si="58"/>
        <v>0.735930735930736</v>
      </c>
      <c r="M128" s="18">
        <f t="shared" si="59"/>
        <v>0.913978494623656</v>
      </c>
      <c r="N128">
        <f t="shared" si="60"/>
        <v>0.997950294645145</v>
      </c>
      <c r="O128">
        <f t="shared" si="61"/>
        <v>0.997950294645145</v>
      </c>
      <c r="P128">
        <f t="shared" si="62"/>
        <v>0.0860215053763441</v>
      </c>
      <c r="Q128">
        <f t="shared" si="63"/>
        <v>0.00776971086485798</v>
      </c>
      <c r="R128">
        <f t="shared" si="64"/>
        <v>0.264069264069264</v>
      </c>
      <c r="S128">
        <f t="shared" si="65"/>
        <v>0.00204970535485524</v>
      </c>
      <c r="T128">
        <f t="shared" si="66"/>
        <v>117.633527234268</v>
      </c>
      <c r="U128">
        <f t="shared" si="67"/>
        <v>0.0861981862603006</v>
      </c>
      <c r="V128">
        <f t="shared" si="68"/>
        <v>0.084417399790844</v>
      </c>
      <c r="W128">
        <f t="shared" si="69"/>
        <v>0.688259109311741</v>
      </c>
      <c r="X128">
        <f t="shared" si="70"/>
        <v>0.815347721822542</v>
      </c>
      <c r="Y128">
        <f t="shared" si="71"/>
        <v>0.815505632195034</v>
      </c>
      <c r="Z128">
        <f t="shared" si="72"/>
        <v>0.820137102058706</v>
      </c>
      <c r="AA128">
        <f t="shared" si="73"/>
        <v>0.911928789268801</v>
      </c>
      <c r="AB128">
        <f t="shared" si="74"/>
        <v>0.733881030575881</v>
      </c>
      <c r="AC128">
        <f t="shared" si="75"/>
        <v>1364.68680302668</v>
      </c>
    </row>
    <row r="129" spans="1:29">
      <c r="A129" t="s">
        <v>39</v>
      </c>
      <c r="B129" t="s">
        <v>32</v>
      </c>
      <c r="C129" t="s">
        <v>40</v>
      </c>
      <c r="D129">
        <v>8037</v>
      </c>
      <c r="E129">
        <v>186</v>
      </c>
      <c r="F129">
        <v>38</v>
      </c>
      <c r="G129">
        <v>2594</v>
      </c>
      <c r="H129">
        <v>23</v>
      </c>
      <c r="I129">
        <v>24</v>
      </c>
      <c r="J129">
        <v>0.802057268233756</v>
      </c>
      <c r="K129">
        <f t="shared" si="57"/>
        <v>0.982456140350877</v>
      </c>
      <c r="L129">
        <f t="shared" si="58"/>
        <v>0.622950819672131</v>
      </c>
      <c r="M129" s="18">
        <f t="shared" si="59"/>
        <v>0.612903225806452</v>
      </c>
      <c r="N129">
        <f t="shared" si="60"/>
        <v>0.99083269671505</v>
      </c>
      <c r="O129">
        <f t="shared" si="61"/>
        <v>0.99083269671505</v>
      </c>
      <c r="P129">
        <f t="shared" si="62"/>
        <v>0.387096774193548</v>
      </c>
      <c r="Q129">
        <f t="shared" si="63"/>
        <v>0.00878868933893772</v>
      </c>
      <c r="R129">
        <f t="shared" si="64"/>
        <v>0.377049180327869</v>
      </c>
      <c r="S129">
        <f t="shared" si="65"/>
        <v>0.00916730328495034</v>
      </c>
      <c r="T129">
        <f t="shared" si="66"/>
        <v>69.7377279102384</v>
      </c>
      <c r="U129">
        <f t="shared" si="67"/>
        <v>0.390678240107444</v>
      </c>
      <c r="V129">
        <f t="shared" si="68"/>
        <v>0.106941442852583</v>
      </c>
      <c r="W129">
        <f t="shared" si="69"/>
        <v>0.447058823529412</v>
      </c>
      <c r="X129">
        <f t="shared" si="70"/>
        <v>0.617886178861789</v>
      </c>
      <c r="Y129">
        <f t="shared" si="71"/>
        <v>0.608929835443824</v>
      </c>
      <c r="Z129">
        <f t="shared" si="72"/>
        <v>0.617906600463065</v>
      </c>
      <c r="AA129">
        <f t="shared" si="73"/>
        <v>0.603735922521501</v>
      </c>
      <c r="AB129">
        <f t="shared" si="74"/>
        <v>0.613783516387181</v>
      </c>
      <c r="AC129">
        <f t="shared" si="75"/>
        <v>178.504254270878</v>
      </c>
    </row>
    <row r="132" spans="1:1">
      <c r="A132" s="20"/>
    </row>
  </sheetData>
  <hyperlinks>
    <hyperlink ref="Y1" r:id="rId1" display="Phi Coefficient " tooltip="https://en.wikipedia.org/wiki/Phi_coefficient"/>
    <hyperlink ref="Z1" r:id="rId2" display="Fowlkes–Mallows index" tooltip="https://en.wikipedia.org/wiki/Fowlkes%E2%80%93Mallows_index"/>
    <hyperlink ref="AA1" r:id="rId3" display="informedness" tooltip="https://en.wikipedia.org/wiki/Informedness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4"/>
  <sheetViews>
    <sheetView zoomScale="115" zoomScaleNormal="115" workbookViewId="0">
      <selection activeCell="A2" sqref="A2:C13"/>
    </sheetView>
  </sheetViews>
  <sheetFormatPr defaultColWidth="8.88888888888889" defaultRowHeight="14.4" outlineLevelCol="3"/>
  <cols>
    <col min="1" max="1" width="16.8888888888889"/>
    <col min="2" max="4" width="12.8888888888889"/>
  </cols>
  <sheetData>
    <row r="2" spans="1:2">
      <c r="A2" s="4" t="s">
        <v>1</v>
      </c>
      <c r="B2" s="4" t="s">
        <v>32</v>
      </c>
    </row>
    <row r="4" spans="1:4">
      <c r="A4" s="5" t="s">
        <v>41</v>
      </c>
      <c r="B4" s="5" t="s">
        <v>2</v>
      </c>
      <c r="C4" s="5"/>
      <c r="D4" s="11"/>
    </row>
    <row r="5" spans="1:4">
      <c r="A5" s="5" t="s">
        <v>0</v>
      </c>
      <c r="B5" s="5" t="s">
        <v>31</v>
      </c>
      <c r="C5" s="7" t="s">
        <v>40</v>
      </c>
      <c r="D5" s="12" t="s">
        <v>42</v>
      </c>
    </row>
    <row r="6" spans="1:4">
      <c r="A6" s="5" t="s">
        <v>34</v>
      </c>
      <c r="B6" s="5">
        <v>0.487903225806452</v>
      </c>
      <c r="C6" s="7">
        <v>0.125</v>
      </c>
      <c r="D6" s="12">
        <v>0.306451612903226</v>
      </c>
    </row>
    <row r="7" spans="1:4">
      <c r="A7" s="8" t="s">
        <v>36</v>
      </c>
      <c r="B7" s="8">
        <v>0.42741935483871</v>
      </c>
      <c r="C7">
        <v>0.0443548387096774</v>
      </c>
      <c r="D7" s="13">
        <v>0.235887096774194</v>
      </c>
    </row>
    <row r="8" spans="1:4">
      <c r="A8" s="8" t="s">
        <v>29</v>
      </c>
      <c r="B8" s="8">
        <v>0.366935483870968</v>
      </c>
      <c r="C8">
        <v>0.0443548387096775</v>
      </c>
      <c r="D8" s="13">
        <v>0.205645161290323</v>
      </c>
    </row>
    <row r="9" spans="1:4">
      <c r="A9" s="8" t="s">
        <v>33</v>
      </c>
      <c r="B9" s="8">
        <v>0.306451612903226</v>
      </c>
      <c r="C9">
        <v>0</v>
      </c>
      <c r="D9" s="13">
        <v>0.153225806451613</v>
      </c>
    </row>
    <row r="10" spans="1:4">
      <c r="A10" s="8" t="s">
        <v>37</v>
      </c>
      <c r="B10" s="8">
        <v>0.487903225806452</v>
      </c>
      <c r="C10">
        <v>0.225806451612903</v>
      </c>
      <c r="D10" s="13">
        <v>0.356854838709677</v>
      </c>
    </row>
    <row r="11" spans="1:4">
      <c r="A11" s="8" t="s">
        <v>39</v>
      </c>
      <c r="B11" s="8">
        <v>0.629032258064516</v>
      </c>
      <c r="C11">
        <v>0.338709677419355</v>
      </c>
      <c r="D11" s="13">
        <v>0.483870967741936</v>
      </c>
    </row>
    <row r="12" spans="1:4">
      <c r="A12" s="8" t="s">
        <v>35</v>
      </c>
      <c r="B12" s="8">
        <v>0.459677419354839</v>
      </c>
      <c r="C12">
        <v>0.0120967741935484</v>
      </c>
      <c r="D12" s="13">
        <v>0.235887096774193</v>
      </c>
    </row>
    <row r="13" spans="1:4">
      <c r="A13" s="8" t="s">
        <v>38</v>
      </c>
      <c r="B13" s="8">
        <v>0.342741935483871</v>
      </c>
      <c r="C13">
        <v>0</v>
      </c>
      <c r="D13" s="13">
        <v>0.171370967741936</v>
      </c>
    </row>
    <row r="14" spans="1:4">
      <c r="A14" s="9" t="s">
        <v>42</v>
      </c>
      <c r="B14" s="9">
        <v>0.438508064516129</v>
      </c>
      <c r="C14" s="10">
        <v>0.0987903225806451</v>
      </c>
      <c r="D14" s="4">
        <v>0.268649193548387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11" sqref="C11"/>
    </sheetView>
  </sheetViews>
  <sheetFormatPr defaultColWidth="8.88888888888889" defaultRowHeight="14.4" outlineLevelCol="3"/>
  <cols>
    <col min="1" max="1" width="19.2222222222222"/>
    <col min="2" max="4" width="12.8888888888889"/>
  </cols>
  <sheetData>
    <row r="1" spans="1:2">
      <c r="A1" s="4" t="s">
        <v>1</v>
      </c>
      <c r="B1" s="4" t="s">
        <v>32</v>
      </c>
    </row>
    <row r="3" spans="1:4">
      <c r="A3" s="5" t="s">
        <v>43</v>
      </c>
      <c r="B3" s="5" t="s">
        <v>2</v>
      </c>
      <c r="C3" s="5"/>
      <c r="D3" s="11"/>
    </row>
    <row r="4" spans="1:4">
      <c r="A4" s="5" t="s">
        <v>0</v>
      </c>
      <c r="B4" s="5" t="s">
        <v>31</v>
      </c>
      <c r="C4" s="7" t="s">
        <v>40</v>
      </c>
      <c r="D4" s="12" t="s">
        <v>42</v>
      </c>
    </row>
    <row r="5" spans="1:4">
      <c r="A5" s="5" t="s">
        <v>34</v>
      </c>
      <c r="B5" s="5">
        <v>0.0162339974741108</v>
      </c>
      <c r="C5" s="7">
        <v>0.121077605232535</v>
      </c>
      <c r="D5" s="12">
        <v>0.0686558013533229</v>
      </c>
    </row>
    <row r="6" spans="1:4">
      <c r="A6" s="8" t="s">
        <v>36</v>
      </c>
      <c r="B6" s="8">
        <v>0.0251843731663321</v>
      </c>
      <c r="C6">
        <v>0.394047619047619</v>
      </c>
      <c r="D6" s="13">
        <v>0.209615996106976</v>
      </c>
    </row>
    <row r="7" spans="1:4">
      <c r="A7" s="8" t="s">
        <v>29</v>
      </c>
      <c r="B7" s="8">
        <v>0.0369791697223241</v>
      </c>
      <c r="C7">
        <v>0.114839901477833</v>
      </c>
      <c r="D7" s="13">
        <v>0.0759095356000783</v>
      </c>
    </row>
    <row r="8" spans="1:4">
      <c r="A8" s="8" t="s">
        <v>33</v>
      </c>
      <c r="B8" s="8">
        <v>0.0362123267242059</v>
      </c>
      <c r="C8">
        <v>0</v>
      </c>
      <c r="D8" s="13">
        <v>0.018106163362103</v>
      </c>
    </row>
    <row r="9" spans="1:4">
      <c r="A9" s="8" t="s">
        <v>37</v>
      </c>
      <c r="B9" s="8">
        <v>0.0252603406809228</v>
      </c>
      <c r="C9">
        <v>0.0880286162526674</v>
      </c>
      <c r="D9" s="13">
        <v>0.0566444784667951</v>
      </c>
    </row>
    <row r="10" spans="1:4">
      <c r="A10" s="8" t="s">
        <v>39</v>
      </c>
      <c r="B10" s="8">
        <v>0.0296315692981301</v>
      </c>
      <c r="C10">
        <v>0.468560980780102</v>
      </c>
      <c r="D10" s="13">
        <v>0.249096275039116</v>
      </c>
    </row>
    <row r="11" spans="1:4">
      <c r="A11" s="8" t="s">
        <v>35</v>
      </c>
      <c r="B11" s="8">
        <v>0.0405006110366771</v>
      </c>
      <c r="C11">
        <v>0.5</v>
      </c>
      <c r="D11" s="13">
        <v>0.270250305518339</v>
      </c>
    </row>
    <row r="12" spans="1:4">
      <c r="A12" s="8" t="s">
        <v>38</v>
      </c>
      <c r="B12" s="8">
        <v>0.0411975367025045</v>
      </c>
      <c r="C12">
        <v>0</v>
      </c>
      <c r="D12" s="13">
        <v>0.0205987683512522</v>
      </c>
    </row>
    <row r="13" spans="1:4">
      <c r="A13" s="9" t="s">
        <v>42</v>
      </c>
      <c r="B13" s="9">
        <v>0.0313999906006509</v>
      </c>
      <c r="C13" s="10">
        <v>0.210819340348844</v>
      </c>
      <c r="D13" s="4">
        <v>0.121109665474748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130" zoomScaleNormal="130" workbookViewId="0">
      <selection activeCell="A3" sqref="A3:D13;A1:B1"/>
      <pivotSelection pane="bottomRight" showHeader="1" extendable="1" activeRow="2" previousRow="2" click="1" r:id="rId1">
        <pivotArea type="all" dataOnly="0" outline="0" fieldPosition="0"/>
      </pivotSelection>
    </sheetView>
  </sheetViews>
  <sheetFormatPr defaultColWidth="8.88888888888889" defaultRowHeight="14.4" outlineLevelCol="3"/>
  <cols>
    <col min="1" max="1" width="20.2222222222222"/>
    <col min="2" max="4" width="12.8888888888889"/>
  </cols>
  <sheetData>
    <row r="1" spans="1:2">
      <c r="A1" t="s">
        <v>1</v>
      </c>
      <c r="B1" t="s">
        <v>32</v>
      </c>
    </row>
    <row r="3" spans="1:2">
      <c r="A3" t="s">
        <v>44</v>
      </c>
      <c r="B3" t="s">
        <v>2</v>
      </c>
    </row>
    <row r="4" spans="1:4">
      <c r="A4" t="s">
        <v>0</v>
      </c>
      <c r="B4" t="s">
        <v>31</v>
      </c>
      <c r="C4" t="s">
        <v>40</v>
      </c>
      <c r="D4" t="s">
        <v>42</v>
      </c>
    </row>
    <row r="5" spans="1:4">
      <c r="A5" t="s">
        <v>34</v>
      </c>
      <c r="B5">
        <v>0.6519990397448</v>
      </c>
      <c r="C5">
        <v>0.551896255254107</v>
      </c>
      <c r="D5">
        <v>0.601947647499453</v>
      </c>
    </row>
    <row r="6" spans="1:4">
      <c r="A6" t="s">
        <v>36</v>
      </c>
      <c r="B6">
        <v>0.66223389538101</v>
      </c>
      <c r="C6">
        <v>0.521269891651361</v>
      </c>
      <c r="D6">
        <v>0.591751893516185</v>
      </c>
    </row>
    <row r="7" spans="1:4">
      <c r="A7" t="s">
        <v>29</v>
      </c>
      <c r="B7">
        <v>0.65339710621399</v>
      </c>
      <c r="C7">
        <v>0.517162134677727</v>
      </c>
      <c r="D7">
        <v>0.585279620445859</v>
      </c>
    </row>
    <row r="8" spans="1:4">
      <c r="A8" t="s">
        <v>33</v>
      </c>
      <c r="B8">
        <v>0.627506835714983</v>
      </c>
      <c r="C8">
        <v>0.499856706152083</v>
      </c>
      <c r="D8">
        <v>0.563681770933533</v>
      </c>
    </row>
    <row r="9" spans="1:4">
      <c r="A9" t="s">
        <v>37</v>
      </c>
      <c r="B9">
        <v>0.685197828846717</v>
      </c>
      <c r="C9">
        <v>0.584865396230601</v>
      </c>
      <c r="D9">
        <v>0.635031612538659</v>
      </c>
    </row>
    <row r="10" spans="1:4">
      <c r="A10" t="s">
        <v>39</v>
      </c>
      <c r="B10">
        <v>0.749026724390482</v>
      </c>
      <c r="C10">
        <v>0.66519931712007</v>
      </c>
      <c r="D10">
        <v>0.707113020755276</v>
      </c>
    </row>
    <row r="11" spans="1:4">
      <c r="A11" t="s">
        <v>35</v>
      </c>
      <c r="B11">
        <v>0.695479476579538</v>
      </c>
      <c r="C11">
        <v>0.505952857864829</v>
      </c>
      <c r="D11">
        <v>0.600716167222184</v>
      </c>
    </row>
    <row r="12" spans="1:4">
      <c r="A12" t="s">
        <v>38</v>
      </c>
      <c r="B12">
        <v>0.646421421828716</v>
      </c>
      <c r="C12">
        <v>0.5</v>
      </c>
      <c r="D12">
        <v>0.573210710914358</v>
      </c>
    </row>
    <row r="13" spans="1:4">
      <c r="A13" t="s">
        <v>42</v>
      </c>
      <c r="B13">
        <v>0.671407791087529</v>
      </c>
      <c r="C13">
        <v>0.543275319868847</v>
      </c>
      <c r="D13">
        <v>0.607341555478188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3"/>
  <sheetViews>
    <sheetView workbookViewId="0">
      <selection activeCell="C11" sqref="C11"/>
    </sheetView>
  </sheetViews>
  <sheetFormatPr defaultColWidth="8.88888888888889" defaultRowHeight="14.4" outlineLevelCol="3"/>
  <cols>
    <col min="1" max="1" width="20.2222222222222"/>
    <col min="2" max="4" width="12.8888888888889"/>
  </cols>
  <sheetData>
    <row r="3" spans="1:2">
      <c r="A3" t="s">
        <v>44</v>
      </c>
      <c r="B3" t="s">
        <v>1</v>
      </c>
    </row>
    <row r="4" spans="1:4">
      <c r="A4" t="s">
        <v>0</v>
      </c>
      <c r="B4" t="s">
        <v>32</v>
      </c>
      <c r="C4" t="s">
        <v>30</v>
      </c>
      <c r="D4" t="s">
        <v>42</v>
      </c>
    </row>
    <row r="5" spans="1:4">
      <c r="A5" t="s">
        <v>34</v>
      </c>
      <c r="B5">
        <v>0.601947647499453</v>
      </c>
      <c r="C5">
        <v>1</v>
      </c>
      <c r="D5">
        <v>0.800973823749727</v>
      </c>
    </row>
    <row r="6" spans="1:4">
      <c r="A6" t="s">
        <v>36</v>
      </c>
      <c r="B6">
        <v>0.591751893516185</v>
      </c>
      <c r="C6">
        <v>0.658979088685367</v>
      </c>
      <c r="D6">
        <v>0.625365491100776</v>
      </c>
    </row>
    <row r="7" spans="1:4">
      <c r="A7" t="s">
        <v>29</v>
      </c>
      <c r="B7">
        <v>0.585279620445859</v>
      </c>
      <c r="C7">
        <v>0.59051458926539</v>
      </c>
      <c r="D7">
        <v>0.587897104855624</v>
      </c>
    </row>
    <row r="8" spans="1:4">
      <c r="A8" t="s">
        <v>33</v>
      </c>
      <c r="B8">
        <v>0.563681770933533</v>
      </c>
      <c r="C8">
        <v>0.568180522514083</v>
      </c>
      <c r="D8">
        <v>0.565931146723808</v>
      </c>
    </row>
    <row r="9" spans="1:4">
      <c r="A9" t="s">
        <v>37</v>
      </c>
      <c r="B9">
        <v>0.635031612538659</v>
      </c>
      <c r="C9">
        <v>0.641271341709774</v>
      </c>
      <c r="D9">
        <v>0.638151477124217</v>
      </c>
    </row>
    <row r="10" spans="1:4">
      <c r="A10" t="s">
        <v>39</v>
      </c>
      <c r="B10">
        <v>0.707113020755276</v>
      </c>
      <c r="C10">
        <v>0.926702885599122</v>
      </c>
      <c r="D10">
        <v>0.816907953177199</v>
      </c>
    </row>
    <row r="11" spans="1:4">
      <c r="A11" t="s">
        <v>35</v>
      </c>
      <c r="B11">
        <v>0.600716167222184</v>
      </c>
      <c r="C11">
        <v>0.999663978494624</v>
      </c>
      <c r="D11">
        <v>0.800190072858404</v>
      </c>
    </row>
    <row r="12" spans="1:4">
      <c r="A12" t="s">
        <v>38</v>
      </c>
      <c r="B12">
        <v>0.573210710914358</v>
      </c>
      <c r="C12">
        <v>0.59744623655914</v>
      </c>
      <c r="D12">
        <v>0.585328473736749</v>
      </c>
    </row>
    <row r="13" spans="1:4">
      <c r="A13" t="s">
        <v>42</v>
      </c>
      <c r="B13">
        <v>0.607341555478188</v>
      </c>
      <c r="C13">
        <v>0.747844830353437</v>
      </c>
      <c r="D13">
        <v>0.677593192915813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130" zoomScaleNormal="130" workbookViewId="0">
      <selection activeCell="B10" sqref="B10"/>
    </sheetView>
  </sheetViews>
  <sheetFormatPr defaultColWidth="8.88888888888889" defaultRowHeight="14.4" outlineLevelCol="3"/>
  <cols>
    <col min="1" max="1" width="18.7777777777778"/>
    <col min="2" max="4" width="12.8888888888889"/>
  </cols>
  <sheetData>
    <row r="1" spans="1:2">
      <c r="A1" s="4" t="s">
        <v>1</v>
      </c>
      <c r="B1" s="4" t="s">
        <v>32</v>
      </c>
    </row>
    <row r="3" spans="1:4">
      <c r="A3" s="5" t="s">
        <v>45</v>
      </c>
      <c r="B3" s="5" t="s">
        <v>2</v>
      </c>
      <c r="C3" s="5"/>
      <c r="D3" s="11"/>
    </row>
    <row r="4" spans="1:4">
      <c r="A4" s="5" t="s">
        <v>0</v>
      </c>
      <c r="B4" s="5" t="s">
        <v>31</v>
      </c>
      <c r="C4" s="7" t="s">
        <v>40</v>
      </c>
      <c r="D4" s="12" t="s">
        <v>42</v>
      </c>
    </row>
    <row r="5" spans="1:4">
      <c r="A5" s="5" t="s">
        <v>34</v>
      </c>
      <c r="B5" s="5">
        <v>0.0314187389707727</v>
      </c>
      <c r="C5" s="7">
        <v>0.122756389344254</v>
      </c>
      <c r="D5" s="12">
        <v>0.0770875641575134</v>
      </c>
    </row>
    <row r="6" spans="1:4">
      <c r="A6" s="8" t="s">
        <v>36</v>
      </c>
      <c r="B6" s="8">
        <v>0.0475611063904533</v>
      </c>
      <c r="C6">
        <v>0.0796213412901392</v>
      </c>
      <c r="D6" s="13">
        <v>0.0635912238402963</v>
      </c>
    </row>
    <row r="7" spans="1:4">
      <c r="A7" s="8" t="s">
        <v>29</v>
      </c>
      <c r="B7" s="8">
        <v>0.0671724520364091</v>
      </c>
      <c r="C7">
        <v>0.0620421245421247</v>
      </c>
      <c r="D7" s="13">
        <v>0.0646072882892669</v>
      </c>
    </row>
    <row r="8" spans="1:4">
      <c r="A8" s="8" t="s">
        <v>33</v>
      </c>
      <c r="B8" s="8">
        <v>0.0647089373322327</v>
      </c>
      <c r="C8">
        <v>0</v>
      </c>
      <c r="D8" s="13">
        <v>0.0323544686661163</v>
      </c>
    </row>
    <row r="9" spans="1:4">
      <c r="A9" s="8" t="s">
        <v>37</v>
      </c>
      <c r="B9" s="8">
        <v>0.0480274499997817</v>
      </c>
      <c r="C9">
        <v>0.126287659463074</v>
      </c>
      <c r="D9" s="13">
        <v>0.0871575547314279</v>
      </c>
    </row>
    <row r="10" spans="1:4">
      <c r="A10" s="8" t="s">
        <v>39</v>
      </c>
      <c r="B10" s="8">
        <v>0.0565555467739307</v>
      </c>
      <c r="C10">
        <v>0.377720117626708</v>
      </c>
      <c r="D10" s="13">
        <v>0.217137832200319</v>
      </c>
    </row>
    <row r="11" spans="1:4">
      <c r="A11" s="8" t="s">
        <v>35</v>
      </c>
      <c r="B11" s="8">
        <v>0.0744235824438461</v>
      </c>
      <c r="C11">
        <v>0.0235615079365079</v>
      </c>
      <c r="D11" s="13">
        <v>0.048992545190177</v>
      </c>
    </row>
    <row r="12" spans="1:4">
      <c r="A12" s="8" t="s">
        <v>38</v>
      </c>
      <c r="B12" s="8">
        <v>0.0735467919954751</v>
      </c>
      <c r="C12">
        <v>0</v>
      </c>
      <c r="D12" s="13">
        <v>0.0367733959977375</v>
      </c>
    </row>
    <row r="13" spans="1:4">
      <c r="A13" s="9" t="s">
        <v>42</v>
      </c>
      <c r="B13" s="9">
        <v>0.0579268257428627</v>
      </c>
      <c r="C13" s="10">
        <v>0.098998642525351</v>
      </c>
      <c r="D13" s="4">
        <v>0.0784627341341068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3" sqref="A3"/>
    </sheetView>
  </sheetViews>
  <sheetFormatPr defaultColWidth="8.88888888888889" defaultRowHeight="14.4" outlineLevelCol="3"/>
  <cols>
    <col min="1" max="1" width="19.2222222222222"/>
    <col min="2" max="4" width="12.8888888888889"/>
  </cols>
  <sheetData>
    <row r="1" spans="1:2">
      <c r="A1" s="4" t="s">
        <v>1</v>
      </c>
      <c r="B1" s="4" t="s">
        <v>32</v>
      </c>
    </row>
    <row r="3" spans="1:4">
      <c r="A3" s="5" t="s">
        <v>46</v>
      </c>
      <c r="B3" s="5" t="s">
        <v>2</v>
      </c>
      <c r="C3" s="5"/>
      <c r="D3" s="11"/>
    </row>
    <row r="4" spans="1:4">
      <c r="A4" s="5" t="s">
        <v>0</v>
      </c>
      <c r="B4" s="5" t="s">
        <v>31</v>
      </c>
      <c r="C4" s="7" t="s">
        <v>40</v>
      </c>
      <c r="D4" s="12" t="s">
        <v>42</v>
      </c>
    </row>
    <row r="5" spans="1:4">
      <c r="A5" s="5" t="s">
        <v>34</v>
      </c>
      <c r="B5" s="5">
        <v>0.814054352186121</v>
      </c>
      <c r="C5" s="7">
        <v>0.959033221351251</v>
      </c>
      <c r="D5" s="12">
        <v>0.886543786768686</v>
      </c>
    </row>
    <row r="6" spans="1:4">
      <c r="A6" s="8" t="s">
        <v>36</v>
      </c>
      <c r="B6" s="8">
        <v>0.89412855996791</v>
      </c>
      <c r="C6">
        <v>0.976110488988429</v>
      </c>
      <c r="D6" s="13">
        <v>0.93511952447817</v>
      </c>
    </row>
    <row r="7" spans="1:4">
      <c r="A7" s="8" t="s">
        <v>29</v>
      </c>
      <c r="B7" s="8">
        <v>0.936296630565584</v>
      </c>
      <c r="C7">
        <v>0.968085106382979</v>
      </c>
      <c r="D7" s="13">
        <v>0.952190868474282</v>
      </c>
    </row>
    <row r="8" spans="1:4">
      <c r="A8" s="8" t="s">
        <v>33</v>
      </c>
      <c r="B8" s="8">
        <v>0.944569795427196</v>
      </c>
      <c r="C8">
        <v>0.976577081000373</v>
      </c>
      <c r="D8" s="13">
        <v>0.960573438213785</v>
      </c>
    </row>
    <row r="9" spans="1:4">
      <c r="A9" s="8" t="s">
        <v>37</v>
      </c>
      <c r="B9" s="8">
        <v>0.880039109506619</v>
      </c>
      <c r="C9">
        <v>0.927304964539007</v>
      </c>
      <c r="D9" s="13">
        <v>0.903672037022813</v>
      </c>
    </row>
    <row r="10" spans="1:4">
      <c r="A10" s="8" t="s">
        <v>39</v>
      </c>
      <c r="B10" s="8">
        <v>0.867529081427999</v>
      </c>
      <c r="C10">
        <v>0.976577081000373</v>
      </c>
      <c r="D10" s="13">
        <v>0.922053081214186</v>
      </c>
    </row>
    <row r="11" spans="1:4">
      <c r="A11" s="8" t="s">
        <v>35</v>
      </c>
      <c r="B11" s="8">
        <v>0.928349378259126</v>
      </c>
      <c r="C11">
        <v>0.976950354609929</v>
      </c>
      <c r="D11" s="13">
        <v>0.952649866434527</v>
      </c>
    </row>
    <row r="12" spans="1:4">
      <c r="A12" s="8" t="s">
        <v>38</v>
      </c>
      <c r="B12" s="8">
        <v>0.94632470918572</v>
      </c>
      <c r="C12">
        <v>0.97685703620754</v>
      </c>
      <c r="D12" s="13">
        <v>0.96159087269663</v>
      </c>
    </row>
    <row r="13" spans="1:4">
      <c r="A13" s="9" t="s">
        <v>42</v>
      </c>
      <c r="B13" s="9">
        <v>0.901411452065784</v>
      </c>
      <c r="C13" s="10">
        <v>0.967186916759985</v>
      </c>
      <c r="D13" s="4">
        <v>0.934299184412885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3" sqref="A3"/>
    </sheetView>
  </sheetViews>
  <sheetFormatPr defaultColWidth="8.88888888888889" defaultRowHeight="14.4" outlineLevelCol="3"/>
  <cols>
    <col min="1" max="1" width="23.4444444444444"/>
    <col min="2" max="3" width="14.1111111111111"/>
    <col min="4" max="4" width="12.8888888888889"/>
  </cols>
  <sheetData>
    <row r="1" spans="1:2">
      <c r="A1" s="4" t="s">
        <v>1</v>
      </c>
      <c r="B1" s="4" t="s">
        <v>32</v>
      </c>
    </row>
    <row r="3" spans="1:4">
      <c r="A3" s="5" t="s">
        <v>47</v>
      </c>
      <c r="B3" s="5" t="s">
        <v>2</v>
      </c>
      <c r="C3" s="5"/>
      <c r="D3" s="11"/>
    </row>
    <row r="4" spans="1:4">
      <c r="A4" s="5" t="s">
        <v>0</v>
      </c>
      <c r="B4" s="5" t="s">
        <v>31</v>
      </c>
      <c r="C4" s="7" t="s">
        <v>40</v>
      </c>
      <c r="D4" s="12" t="s">
        <v>42</v>
      </c>
    </row>
    <row r="5" spans="1:4">
      <c r="A5" s="5" t="s">
        <v>34</v>
      </c>
      <c r="B5" s="5">
        <v>0.483999876085903</v>
      </c>
      <c r="C5" s="7">
        <v>0.104261569774023</v>
      </c>
      <c r="D5" s="12">
        <v>0.294130722929963</v>
      </c>
    </row>
    <row r="6" spans="1:4">
      <c r="A6" s="8" t="s">
        <v>36</v>
      </c>
      <c r="B6" s="8">
        <v>0.423444262951417</v>
      </c>
      <c r="C6">
        <v>0.0221761225498246</v>
      </c>
      <c r="D6" s="13">
        <v>0.222810192750621</v>
      </c>
    </row>
    <row r="7" spans="1:4">
      <c r="A7" s="8" t="s">
        <v>29</v>
      </c>
      <c r="B7" s="8">
        <v>0.362738546820819</v>
      </c>
      <c r="C7">
        <v>0.0219956196992872</v>
      </c>
      <c r="D7" s="13">
        <v>0.192367083260053</v>
      </c>
    </row>
    <row r="8" spans="1:4">
      <c r="A8" s="8" t="s">
        <v>33</v>
      </c>
      <c r="B8" s="8">
        <v>0.30189824960235</v>
      </c>
      <c r="C8">
        <v>-0.0231494468191216</v>
      </c>
      <c r="D8" s="13">
        <v>0.139374401391614</v>
      </c>
    </row>
    <row r="9" spans="1:4">
      <c r="A9" s="8" t="s">
        <v>37</v>
      </c>
      <c r="B9" s="8">
        <v>0.484288226536138</v>
      </c>
      <c r="C9">
        <v>0.206745929429025</v>
      </c>
      <c r="D9" s="13">
        <v>0.345517077982581</v>
      </c>
    </row>
    <row r="10" spans="1:4">
      <c r="A10" s="8" t="s">
        <v>39</v>
      </c>
      <c r="B10" s="8">
        <v>0.626368629139921</v>
      </c>
      <c r="C10">
        <v>0.323182750094414</v>
      </c>
      <c r="D10" s="13">
        <v>0.474775689617167</v>
      </c>
    </row>
    <row r="11" spans="1:4">
      <c r="A11" s="8" t="s">
        <v>35</v>
      </c>
      <c r="B11" s="8">
        <v>0.456059473485997</v>
      </c>
      <c r="C11">
        <v>-0.0107768656906255</v>
      </c>
      <c r="D11" s="13">
        <v>0.222641303897686</v>
      </c>
    </row>
    <row r="12" spans="1:4">
      <c r="A12" s="8" t="s">
        <v>38</v>
      </c>
      <c r="B12" s="8">
        <v>0.338432740370964</v>
      </c>
      <c r="C12">
        <v>-0.0231429637924598</v>
      </c>
      <c r="D12" s="13">
        <v>0.157644888289252</v>
      </c>
    </row>
    <row r="13" spans="1:4">
      <c r="A13" s="9" t="s">
        <v>42</v>
      </c>
      <c r="B13" s="9">
        <v>0.434653750624188</v>
      </c>
      <c r="C13" s="10">
        <v>0.0776615894055458</v>
      </c>
      <c r="D13" s="4">
        <v>0.256157670014867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3" sqref="A3"/>
    </sheetView>
  </sheetViews>
  <sheetFormatPr defaultColWidth="8.88888888888889" defaultRowHeight="14.4" outlineLevelRow="6" outlineLevelCol="2"/>
  <cols>
    <col min="1" max="1" width="11.5555555555556"/>
    <col min="2" max="4" width="20.2222222222222"/>
  </cols>
  <sheetData>
    <row r="1" spans="1:2">
      <c r="A1" s="4" t="s">
        <v>1</v>
      </c>
      <c r="B1" s="4" t="s">
        <v>32</v>
      </c>
    </row>
    <row r="3" spans="1:3">
      <c r="A3" s="5"/>
      <c r="B3" s="5" t="s">
        <v>48</v>
      </c>
      <c r="C3" s="12"/>
    </row>
    <row r="4" spans="1:3">
      <c r="A4" s="5" t="s">
        <v>2</v>
      </c>
      <c r="B4" s="5" t="s">
        <v>41</v>
      </c>
      <c r="C4" s="14" t="s">
        <v>49</v>
      </c>
    </row>
    <row r="5" spans="1:3">
      <c r="A5" s="5" t="s">
        <v>31</v>
      </c>
      <c r="B5" s="5">
        <v>0.438508064516129</v>
      </c>
      <c r="C5" s="14">
        <v>0.996145686108059</v>
      </c>
    </row>
    <row r="6" spans="1:3">
      <c r="A6" s="8" t="s">
        <v>40</v>
      </c>
      <c r="B6" s="8">
        <v>0.0987903225806451</v>
      </c>
      <c r="C6" s="15">
        <v>0.978871266824901</v>
      </c>
    </row>
    <row r="7" spans="1:3">
      <c r="A7" s="9" t="s">
        <v>42</v>
      </c>
      <c r="B7" s="9">
        <v>0.268649193548387</v>
      </c>
      <c r="C7" s="16">
        <v>0.98750847646648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zoomScale="115" zoomScaleNormal="115" topLeftCell="D4" workbookViewId="0">
      <selection activeCell="A3" sqref="A3"/>
    </sheetView>
  </sheetViews>
  <sheetFormatPr defaultColWidth="8.88888888888889" defaultRowHeight="14.4" outlineLevelRow="6"/>
  <cols>
    <col min="1" max="1" width="16.5555555555556"/>
    <col min="2" max="9" width="16.8888888888889"/>
    <col min="10" max="10" width="12.8888888888889"/>
    <col min="11" max="17" width="19.2222222222222"/>
    <col min="18" max="18" width="21.7777777777778"/>
    <col min="19" max="19" width="24.5555555555556"/>
  </cols>
  <sheetData>
    <row r="1" spans="1:2">
      <c r="A1" s="4" t="s">
        <v>2</v>
      </c>
      <c r="B1" s="4" t="s">
        <v>40</v>
      </c>
    </row>
    <row r="3" spans="1:10">
      <c r="A3" s="5" t="s">
        <v>41</v>
      </c>
      <c r="B3" s="5" t="s">
        <v>0</v>
      </c>
      <c r="C3" s="5"/>
      <c r="D3" s="6"/>
      <c r="E3" s="6"/>
      <c r="F3" s="6"/>
      <c r="G3" s="6"/>
      <c r="H3" s="6"/>
      <c r="I3" s="6"/>
      <c r="J3" s="11"/>
    </row>
    <row r="4" spans="1:10">
      <c r="A4" s="5" t="s">
        <v>1</v>
      </c>
      <c r="B4" s="5" t="s">
        <v>34</v>
      </c>
      <c r="C4" s="7" t="s">
        <v>36</v>
      </c>
      <c r="D4" s="7" t="s">
        <v>29</v>
      </c>
      <c r="E4" s="7" t="s">
        <v>33</v>
      </c>
      <c r="F4" s="7" t="s">
        <v>37</v>
      </c>
      <c r="G4" s="7" t="s">
        <v>39</v>
      </c>
      <c r="H4" s="7" t="s">
        <v>35</v>
      </c>
      <c r="I4" s="7" t="s">
        <v>38</v>
      </c>
      <c r="J4" s="12" t="s">
        <v>42</v>
      </c>
    </row>
    <row r="5" spans="1:10">
      <c r="A5" s="5" t="s">
        <v>32</v>
      </c>
      <c r="B5" s="5">
        <v>0.125</v>
      </c>
      <c r="C5" s="7">
        <v>0.0443548387096774</v>
      </c>
      <c r="D5" s="7">
        <v>0.0443548387096775</v>
      </c>
      <c r="E5" s="7">
        <v>0</v>
      </c>
      <c r="F5" s="7">
        <v>0.225806451612903</v>
      </c>
      <c r="G5" s="7">
        <v>0.338709677419355</v>
      </c>
      <c r="H5" s="7">
        <v>0.0120967741935484</v>
      </c>
      <c r="I5" s="7">
        <v>0</v>
      </c>
      <c r="J5" s="12">
        <v>0.0987903225806451</v>
      </c>
    </row>
    <row r="6" spans="1:10">
      <c r="A6" s="8" t="s">
        <v>30</v>
      </c>
      <c r="B6" s="8">
        <v>1</v>
      </c>
      <c r="C6">
        <v>0.102150537634409</v>
      </c>
      <c r="D6">
        <v>0.0591397849462366</v>
      </c>
      <c r="E6">
        <v>0.00403225806451613</v>
      </c>
      <c r="F6">
        <v>0.247311827956989</v>
      </c>
      <c r="G6">
        <v>0.801075268817205</v>
      </c>
      <c r="H6">
        <v>0.998655913978495</v>
      </c>
      <c r="I6">
        <v>0</v>
      </c>
      <c r="J6" s="13">
        <v>0.401545698924731</v>
      </c>
    </row>
    <row r="7" spans="1:10">
      <c r="A7" s="9" t="s">
        <v>42</v>
      </c>
      <c r="B7" s="9">
        <v>0.5625</v>
      </c>
      <c r="C7" s="10">
        <v>0.0732526881720431</v>
      </c>
      <c r="D7" s="10">
        <v>0.051747311827957</v>
      </c>
      <c r="E7" s="10">
        <v>0.00201612903225807</v>
      </c>
      <c r="F7" s="10">
        <v>0.236559139784946</v>
      </c>
      <c r="G7" s="10">
        <v>0.56989247311828</v>
      </c>
      <c r="H7" s="10">
        <v>0.505376344086022</v>
      </c>
      <c r="I7" s="10">
        <v>0</v>
      </c>
      <c r="J7" s="4">
        <v>0.250168010752688</v>
      </c>
    </row>
  </sheetData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zoomScale="70" zoomScaleNormal="70" topLeftCell="A13" workbookViewId="0">
      <selection activeCell="G20" sqref="G20"/>
    </sheetView>
  </sheetViews>
  <sheetFormatPr defaultColWidth="8.88888888888889" defaultRowHeight="14.4"/>
  <cols>
    <col min="1" max="1" width="17"/>
    <col min="2" max="4" width="12.8888888888889"/>
    <col min="7" max="7" width="21"/>
    <col min="8" max="10" width="12.8888888888889"/>
  </cols>
  <sheetData>
    <row r="1" spans="1:2">
      <c r="A1" t="s">
        <v>1</v>
      </c>
      <c r="B1" t="s">
        <v>32</v>
      </c>
    </row>
    <row r="3" spans="1:2">
      <c r="A3" t="s">
        <v>41</v>
      </c>
      <c r="B3" t="s">
        <v>2</v>
      </c>
    </row>
    <row r="4" spans="1:4">
      <c r="A4" t="s">
        <v>0</v>
      </c>
      <c r="B4" t="s">
        <v>31</v>
      </c>
      <c r="C4" t="s">
        <v>40</v>
      </c>
      <c r="D4" t="s">
        <v>42</v>
      </c>
    </row>
    <row r="5" spans="1:4">
      <c r="A5" t="s">
        <v>34</v>
      </c>
      <c r="B5">
        <v>0.5</v>
      </c>
      <c r="C5">
        <v>0.133064516129032</v>
      </c>
      <c r="D5">
        <v>0.316532258064516</v>
      </c>
    </row>
    <row r="6" spans="1:4">
      <c r="A6" t="s">
        <v>36</v>
      </c>
      <c r="B6">
        <v>0.487903225806452</v>
      </c>
      <c r="C6">
        <v>0.0443548387096774</v>
      </c>
      <c r="D6">
        <v>0.266129032258065</v>
      </c>
    </row>
    <row r="7" spans="1:4">
      <c r="A7" t="s">
        <v>29</v>
      </c>
      <c r="B7">
        <v>0.379032258064516</v>
      </c>
      <c r="C7">
        <v>0.0443548387096775</v>
      </c>
      <c r="D7">
        <v>0.211693548387097</v>
      </c>
    </row>
    <row r="8" spans="1:4">
      <c r="A8" t="s">
        <v>33</v>
      </c>
      <c r="B8">
        <v>0.32258064516129</v>
      </c>
      <c r="C8">
        <v>0</v>
      </c>
      <c r="D8">
        <v>0.161290322580645</v>
      </c>
    </row>
    <row r="9" spans="1:4">
      <c r="A9" t="s">
        <v>37</v>
      </c>
      <c r="B9">
        <v>0.508064516129032</v>
      </c>
      <c r="C9">
        <v>0.225806451612903</v>
      </c>
      <c r="D9">
        <v>0.366935483870968</v>
      </c>
    </row>
    <row r="10" spans="1:4">
      <c r="A10" t="s">
        <v>39</v>
      </c>
      <c r="B10">
        <v>0.693548387096774</v>
      </c>
      <c r="C10">
        <v>0.338709677419355</v>
      </c>
      <c r="D10">
        <v>0.516129032258065</v>
      </c>
    </row>
    <row r="11" spans="1:4">
      <c r="A11" t="s">
        <v>35</v>
      </c>
      <c r="B11">
        <v>0.459677419354839</v>
      </c>
      <c r="C11">
        <v>0.0120967741935484</v>
      </c>
      <c r="D11">
        <v>0.235887096774194</v>
      </c>
    </row>
    <row r="12" spans="1:4">
      <c r="A12" t="s">
        <v>38</v>
      </c>
      <c r="B12">
        <v>0.35483870967742</v>
      </c>
      <c r="C12">
        <v>0</v>
      </c>
      <c r="D12">
        <v>0.17741935483871</v>
      </c>
    </row>
    <row r="13" spans="1:4">
      <c r="A13" t="s">
        <v>42</v>
      </c>
      <c r="B13">
        <v>0.46320564516129</v>
      </c>
      <c r="C13">
        <v>0.0997983870967742</v>
      </c>
      <c r="D13">
        <v>0.281502016129032</v>
      </c>
    </row>
    <row r="18" spans="7:8">
      <c r="G18" t="s">
        <v>1</v>
      </c>
      <c r="H18" t="s">
        <v>32</v>
      </c>
    </row>
    <row r="20" spans="7:8">
      <c r="G20" t="s">
        <v>49</v>
      </c>
      <c r="H20" t="s">
        <v>2</v>
      </c>
    </row>
    <row r="21" spans="7:10">
      <c r="G21" t="s">
        <v>0</v>
      </c>
      <c r="H21" t="s">
        <v>31</v>
      </c>
      <c r="I21" t="s">
        <v>40</v>
      </c>
      <c r="J21" t="s">
        <v>42</v>
      </c>
    </row>
    <row r="22" spans="7:10">
      <c r="G22" t="s">
        <v>34</v>
      </c>
      <c r="H22">
        <v>0.996156767113041</v>
      </c>
      <c r="I22">
        <v>0.979443047470838</v>
      </c>
      <c r="J22">
        <v>0.98779990729194</v>
      </c>
    </row>
    <row r="23" spans="7:10">
      <c r="G23" t="s">
        <v>36</v>
      </c>
      <c r="H23">
        <v>0.996435843082283</v>
      </c>
      <c r="I23">
        <v>0.977821283840147</v>
      </c>
      <c r="J23">
        <v>0.987128563461215</v>
      </c>
    </row>
    <row r="24" spans="7:10">
      <c r="G24" t="s">
        <v>29</v>
      </c>
      <c r="H24">
        <v>0.995876095718917</v>
      </c>
      <c r="I24">
        <v>0.97764078098961</v>
      </c>
      <c r="J24">
        <v>0.986758438354263</v>
      </c>
    </row>
    <row r="25" spans="7:10">
      <c r="G25" t="s">
        <v>33</v>
      </c>
      <c r="H25">
        <v>0.995551406015855</v>
      </c>
      <c r="I25">
        <v>0.976850553180878</v>
      </c>
      <c r="J25">
        <v>0.986200979598367</v>
      </c>
    </row>
    <row r="26" spans="7:10">
      <c r="G26" t="s">
        <v>37</v>
      </c>
      <c r="H26">
        <v>0.996528204506102</v>
      </c>
      <c r="I26">
        <v>0.980939477816122</v>
      </c>
      <c r="J26">
        <v>0.988733841161112</v>
      </c>
    </row>
    <row r="27" spans="7:10">
      <c r="G27" t="s">
        <v>39</v>
      </c>
      <c r="H27">
        <v>0.997776802629413</v>
      </c>
      <c r="I27">
        <v>0.98440256669923</v>
      </c>
      <c r="J27">
        <v>0.991089684664322</v>
      </c>
    </row>
    <row r="28" spans="7:10">
      <c r="G28" t="s">
        <v>35</v>
      </c>
      <c r="H28">
        <v>0.996377399401442</v>
      </c>
      <c r="I28">
        <v>0.977126360115826</v>
      </c>
      <c r="J28">
        <v>0.986751879758634</v>
      </c>
    </row>
    <row r="29" spans="7:10">
      <c r="G29" t="s">
        <v>38</v>
      </c>
      <c r="H29">
        <v>0.995756056053233</v>
      </c>
      <c r="I29">
        <v>0.97685703620754</v>
      </c>
      <c r="J29">
        <v>0.986306546130386</v>
      </c>
    </row>
    <row r="30" spans="7:10">
      <c r="G30" t="s">
        <v>42</v>
      </c>
      <c r="H30">
        <v>0.996307321815036</v>
      </c>
      <c r="I30">
        <v>0.978885138290024</v>
      </c>
      <c r="J30">
        <v>0.98759623005253</v>
      </c>
    </row>
  </sheetData>
  <pageMargins left="0.75" right="0.75" top="1" bottom="1" header="0.5" footer="0.5"/>
  <headerFooter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9"/>
  <sheetViews>
    <sheetView workbookViewId="0">
      <selection activeCell="A1" sqref="A1:N129"/>
    </sheetView>
  </sheetViews>
  <sheetFormatPr defaultColWidth="8.88888888888889" defaultRowHeight="14.4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3"/>
      <c r="S1" s="2"/>
      <c r="T1" s="2"/>
      <c r="U1" s="2"/>
      <c r="V1" s="2"/>
      <c r="W1" s="2"/>
      <c r="X1" s="3"/>
      <c r="Y1" s="3"/>
      <c r="Z1" s="3"/>
      <c r="AA1" s="3"/>
      <c r="AB1" s="2"/>
      <c r="AC1" s="2"/>
    </row>
    <row r="2" spans="1:29">
      <c r="A2" s="1" t="s">
        <v>29</v>
      </c>
      <c r="B2" s="1" t="s">
        <v>30</v>
      </c>
      <c r="C2" s="1" t="s">
        <v>31</v>
      </c>
      <c r="D2" s="1">
        <v>744</v>
      </c>
      <c r="E2" s="1">
        <v>186</v>
      </c>
      <c r="F2" s="1">
        <v>67</v>
      </c>
      <c r="G2" s="1">
        <v>525</v>
      </c>
      <c r="H2" s="1">
        <v>33</v>
      </c>
      <c r="I2" s="1">
        <v>119</v>
      </c>
      <c r="J2" s="1" t="s">
        <v>50</v>
      </c>
      <c r="K2" s="1">
        <f t="shared" ref="K2:K65" si="0">(F2+G2)/(I2+H2+G2+F2)</f>
        <v>0.795698924731183</v>
      </c>
      <c r="L2" s="1">
        <f t="shared" ref="L2:L65" si="1">IF(F2=0,0,F2/(H2+F2))</f>
        <v>0.67</v>
      </c>
      <c r="M2" s="1">
        <f t="shared" ref="M2:M65" si="2">IF(F2=0,0,F2/(F2+I2))</f>
        <v>0.360215053763441</v>
      </c>
      <c r="N2" s="1">
        <f t="shared" ref="N2:N65" si="3">IF(G2=0,0,G2/(I2+G2))</f>
        <v>0.815217391304348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 t="s">
        <v>29</v>
      </c>
      <c r="B3" s="1" t="s">
        <v>32</v>
      </c>
      <c r="C3" s="1" t="s">
        <v>31</v>
      </c>
      <c r="D3" s="1">
        <v>744</v>
      </c>
      <c r="E3" s="1">
        <v>186</v>
      </c>
      <c r="F3" s="1">
        <v>27</v>
      </c>
      <c r="G3" s="1">
        <v>9317</v>
      </c>
      <c r="H3" s="1">
        <v>593</v>
      </c>
      <c r="I3" s="1">
        <v>35</v>
      </c>
      <c r="J3" s="1" t="s">
        <v>51</v>
      </c>
      <c r="K3" s="1">
        <f t="shared" si="0"/>
        <v>0.937023666265544</v>
      </c>
      <c r="L3" s="1">
        <f t="shared" si="1"/>
        <v>0.0435483870967742</v>
      </c>
      <c r="M3" s="1">
        <f t="shared" si="2"/>
        <v>0.435483870967742</v>
      </c>
      <c r="N3" s="1">
        <f t="shared" si="3"/>
        <v>0.99625748502994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1" t="s">
        <v>33</v>
      </c>
      <c r="B4" s="1" t="s">
        <v>30</v>
      </c>
      <c r="C4" s="1" t="s">
        <v>31</v>
      </c>
      <c r="D4" s="1">
        <v>744</v>
      </c>
      <c r="E4" s="1">
        <v>186</v>
      </c>
      <c r="F4" s="1">
        <v>58</v>
      </c>
      <c r="G4" s="1">
        <v>528</v>
      </c>
      <c r="H4" s="1">
        <v>30</v>
      </c>
      <c r="I4" s="1">
        <v>128</v>
      </c>
      <c r="J4" s="1" t="s">
        <v>52</v>
      </c>
      <c r="K4" s="1">
        <f t="shared" si="0"/>
        <v>0.787634408602151</v>
      </c>
      <c r="L4" s="1">
        <f t="shared" si="1"/>
        <v>0.659090909090909</v>
      </c>
      <c r="M4" s="1">
        <f t="shared" si="2"/>
        <v>0.311827956989247</v>
      </c>
      <c r="N4" s="1">
        <f t="shared" si="3"/>
        <v>0.804878048780488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1" t="s">
        <v>33</v>
      </c>
      <c r="B5" s="1" t="s">
        <v>32</v>
      </c>
      <c r="C5" s="1" t="s">
        <v>31</v>
      </c>
      <c r="D5" s="1">
        <v>744</v>
      </c>
      <c r="E5" s="1">
        <v>186</v>
      </c>
      <c r="F5" s="1">
        <v>26</v>
      </c>
      <c r="G5" s="1">
        <v>9405</v>
      </c>
      <c r="H5" s="1">
        <v>505</v>
      </c>
      <c r="I5" s="1">
        <v>36</v>
      </c>
      <c r="J5" s="1" t="s">
        <v>53</v>
      </c>
      <c r="K5" s="1">
        <f t="shared" si="0"/>
        <v>0.945748094665062</v>
      </c>
      <c r="L5" s="1">
        <f t="shared" si="1"/>
        <v>0.0489642184557439</v>
      </c>
      <c r="M5" s="1">
        <f t="shared" si="2"/>
        <v>0.419354838709677</v>
      </c>
      <c r="N5" s="1">
        <f t="shared" si="3"/>
        <v>0.996186844613918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" t="s">
        <v>34</v>
      </c>
      <c r="B6" s="1" t="s">
        <v>30</v>
      </c>
      <c r="C6" s="1" t="s">
        <v>31</v>
      </c>
      <c r="D6" s="1">
        <v>744</v>
      </c>
      <c r="E6" s="1">
        <v>186</v>
      </c>
      <c r="F6" s="1">
        <v>186</v>
      </c>
      <c r="G6" s="1">
        <v>558</v>
      </c>
      <c r="H6" s="1">
        <v>0</v>
      </c>
      <c r="I6" s="1">
        <v>0</v>
      </c>
      <c r="J6" s="1" t="s">
        <v>54</v>
      </c>
      <c r="K6" s="1">
        <f t="shared" si="0"/>
        <v>1</v>
      </c>
      <c r="L6" s="1">
        <f t="shared" si="1"/>
        <v>1</v>
      </c>
      <c r="M6" s="1">
        <f t="shared" si="2"/>
        <v>1</v>
      </c>
      <c r="N6" s="1">
        <f t="shared" si="3"/>
        <v>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1" t="s">
        <v>34</v>
      </c>
      <c r="B7" s="1" t="s">
        <v>32</v>
      </c>
      <c r="C7" s="1" t="s">
        <v>31</v>
      </c>
      <c r="D7" s="1">
        <v>744</v>
      </c>
      <c r="E7" s="1">
        <v>186</v>
      </c>
      <c r="F7" s="1">
        <v>26</v>
      </c>
      <c r="G7" s="1">
        <v>8130</v>
      </c>
      <c r="H7" s="1">
        <v>1780</v>
      </c>
      <c r="I7" s="1">
        <v>36</v>
      </c>
      <c r="J7" s="1" t="s">
        <v>55</v>
      </c>
      <c r="K7" s="1">
        <f t="shared" si="0"/>
        <v>0.817890092258323</v>
      </c>
      <c r="L7" s="1">
        <f t="shared" si="1"/>
        <v>0.0143964562569214</v>
      </c>
      <c r="M7" s="1">
        <f t="shared" si="2"/>
        <v>0.419354838709677</v>
      </c>
      <c r="N7" s="1">
        <f t="shared" si="3"/>
        <v>0.995591476855254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1" t="s">
        <v>35</v>
      </c>
      <c r="B8" s="1" t="s">
        <v>30</v>
      </c>
      <c r="C8" s="1" t="s">
        <v>31</v>
      </c>
      <c r="D8" s="1">
        <v>744</v>
      </c>
      <c r="E8" s="1">
        <v>186</v>
      </c>
      <c r="F8" s="1">
        <v>186</v>
      </c>
      <c r="G8" s="1">
        <v>558</v>
      </c>
      <c r="H8" s="1">
        <v>0</v>
      </c>
      <c r="I8" s="1">
        <v>0</v>
      </c>
      <c r="J8" s="1" t="s">
        <v>54</v>
      </c>
      <c r="K8" s="1">
        <f t="shared" si="0"/>
        <v>1</v>
      </c>
      <c r="L8" s="1">
        <f t="shared" si="1"/>
        <v>1</v>
      </c>
      <c r="M8" s="1">
        <f t="shared" si="2"/>
        <v>1</v>
      </c>
      <c r="N8" s="1">
        <f t="shared" si="3"/>
        <v>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1" t="s">
        <v>35</v>
      </c>
      <c r="B9" s="1" t="s">
        <v>32</v>
      </c>
      <c r="C9" s="1" t="s">
        <v>31</v>
      </c>
      <c r="D9" s="1">
        <v>744</v>
      </c>
      <c r="E9" s="1">
        <v>186</v>
      </c>
      <c r="F9" s="1">
        <v>29</v>
      </c>
      <c r="G9" s="1">
        <v>9245</v>
      </c>
      <c r="H9" s="1">
        <v>665</v>
      </c>
      <c r="I9" s="1">
        <v>33</v>
      </c>
      <c r="J9" s="1" t="s">
        <v>56</v>
      </c>
      <c r="K9" s="1">
        <f t="shared" si="0"/>
        <v>0.930004011231448</v>
      </c>
      <c r="L9" s="1">
        <f t="shared" si="1"/>
        <v>0.0417867435158501</v>
      </c>
      <c r="M9" s="1">
        <f t="shared" si="2"/>
        <v>0.467741935483871</v>
      </c>
      <c r="N9" s="1">
        <f t="shared" si="3"/>
        <v>0.996443198965294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1" t="s">
        <v>36</v>
      </c>
      <c r="B10" s="1" t="s">
        <v>30</v>
      </c>
      <c r="C10" s="1" t="s">
        <v>31</v>
      </c>
      <c r="D10" s="1">
        <v>744</v>
      </c>
      <c r="E10" s="1">
        <v>186</v>
      </c>
      <c r="F10" s="1">
        <v>112</v>
      </c>
      <c r="G10" s="1">
        <v>516</v>
      </c>
      <c r="H10" s="1">
        <v>42</v>
      </c>
      <c r="I10" s="1">
        <v>74</v>
      </c>
      <c r="J10" s="1" t="s">
        <v>57</v>
      </c>
      <c r="K10" s="1">
        <f t="shared" si="0"/>
        <v>0.844086021505376</v>
      </c>
      <c r="L10" s="1">
        <f t="shared" si="1"/>
        <v>0.727272727272727</v>
      </c>
      <c r="M10" s="1">
        <f t="shared" si="2"/>
        <v>0.602150537634409</v>
      </c>
      <c r="N10" s="1">
        <f t="shared" si="3"/>
        <v>0.874576271186441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1" t="s">
        <v>36</v>
      </c>
      <c r="B11" s="1" t="s">
        <v>32</v>
      </c>
      <c r="C11" s="1" t="s">
        <v>31</v>
      </c>
      <c r="D11" s="1">
        <v>744</v>
      </c>
      <c r="E11" s="1">
        <v>186</v>
      </c>
      <c r="F11" s="1">
        <v>36</v>
      </c>
      <c r="G11" s="1">
        <v>8828</v>
      </c>
      <c r="H11" s="1">
        <v>1082</v>
      </c>
      <c r="I11" s="1">
        <v>26</v>
      </c>
      <c r="J11" s="1" t="s">
        <v>58</v>
      </c>
      <c r="K11" s="1">
        <f t="shared" si="0"/>
        <v>0.888888888888889</v>
      </c>
      <c r="L11" s="1">
        <f t="shared" si="1"/>
        <v>0.0322003577817531</v>
      </c>
      <c r="M11" s="1">
        <f t="shared" si="2"/>
        <v>0.580645161290323</v>
      </c>
      <c r="N11" s="1">
        <f t="shared" si="3"/>
        <v>0.997063474135984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 t="s">
        <v>37</v>
      </c>
      <c r="B12" s="1" t="s">
        <v>30</v>
      </c>
      <c r="C12" s="1" t="s">
        <v>31</v>
      </c>
      <c r="D12" s="1">
        <v>744</v>
      </c>
      <c r="E12" s="1">
        <v>186</v>
      </c>
      <c r="F12" s="1">
        <v>82</v>
      </c>
      <c r="G12" s="1">
        <v>490</v>
      </c>
      <c r="H12" s="1">
        <v>68</v>
      </c>
      <c r="I12" s="1">
        <v>104</v>
      </c>
      <c r="J12" s="1" t="s">
        <v>59</v>
      </c>
      <c r="K12" s="1">
        <f t="shared" si="0"/>
        <v>0.768817204301075</v>
      </c>
      <c r="L12" s="1">
        <f t="shared" si="1"/>
        <v>0.546666666666667</v>
      </c>
      <c r="M12" s="1">
        <f t="shared" si="2"/>
        <v>0.440860215053763</v>
      </c>
      <c r="N12" s="1">
        <f t="shared" si="3"/>
        <v>0.824915824915825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1" t="s">
        <v>37</v>
      </c>
      <c r="B13" s="1" t="s">
        <v>32</v>
      </c>
      <c r="C13" s="1" t="s">
        <v>31</v>
      </c>
      <c r="D13" s="1">
        <v>744</v>
      </c>
      <c r="E13" s="1">
        <v>186</v>
      </c>
      <c r="F13" s="1">
        <v>31</v>
      </c>
      <c r="G13" s="1">
        <v>8879</v>
      </c>
      <c r="H13" s="1">
        <v>1031</v>
      </c>
      <c r="I13" s="1">
        <v>31</v>
      </c>
      <c r="J13" s="1" t="s">
        <v>60</v>
      </c>
      <c r="K13" s="1">
        <f t="shared" si="0"/>
        <v>0.893501805054152</v>
      </c>
      <c r="L13" s="1">
        <f t="shared" si="1"/>
        <v>0.0291902071563089</v>
      </c>
      <c r="M13" s="1">
        <f t="shared" si="2"/>
        <v>0.5</v>
      </c>
      <c r="N13" s="1">
        <f t="shared" si="3"/>
        <v>0.99652076318743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1" t="s">
        <v>38</v>
      </c>
      <c r="B14" s="1" t="s">
        <v>30</v>
      </c>
      <c r="C14" s="1" t="s">
        <v>31</v>
      </c>
      <c r="D14" s="1">
        <v>744</v>
      </c>
      <c r="E14" s="1">
        <v>186</v>
      </c>
      <c r="F14" s="1">
        <v>79</v>
      </c>
      <c r="G14" s="1">
        <v>533</v>
      </c>
      <c r="H14" s="1">
        <v>25</v>
      </c>
      <c r="I14" s="1">
        <v>107</v>
      </c>
      <c r="J14" s="1" t="s">
        <v>61</v>
      </c>
      <c r="K14" s="1">
        <f t="shared" si="0"/>
        <v>0.82258064516129</v>
      </c>
      <c r="L14" s="1">
        <f t="shared" si="1"/>
        <v>0.759615384615385</v>
      </c>
      <c r="M14" s="1">
        <f t="shared" si="2"/>
        <v>0.424731182795699</v>
      </c>
      <c r="N14" s="1">
        <f t="shared" si="3"/>
        <v>0.8328125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1" t="s">
        <v>38</v>
      </c>
      <c r="B15" s="1" t="s">
        <v>32</v>
      </c>
      <c r="C15" s="1" t="s">
        <v>31</v>
      </c>
      <c r="D15" s="1">
        <v>744</v>
      </c>
      <c r="E15" s="1">
        <v>186</v>
      </c>
      <c r="F15" s="1">
        <v>29</v>
      </c>
      <c r="G15" s="1">
        <v>9334</v>
      </c>
      <c r="H15" s="1">
        <v>576</v>
      </c>
      <c r="I15" s="1">
        <v>33</v>
      </c>
      <c r="J15" s="1" t="s">
        <v>62</v>
      </c>
      <c r="K15" s="1">
        <f t="shared" si="0"/>
        <v>0.938929001203369</v>
      </c>
      <c r="L15" s="1">
        <f t="shared" si="1"/>
        <v>0.0479338842975207</v>
      </c>
      <c r="M15" s="1">
        <f t="shared" si="2"/>
        <v>0.467741935483871</v>
      </c>
      <c r="N15" s="1">
        <f t="shared" si="3"/>
        <v>0.996476993701292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" t="s">
        <v>39</v>
      </c>
      <c r="B16" s="1" t="s">
        <v>30</v>
      </c>
      <c r="C16" s="1" t="s">
        <v>31</v>
      </c>
      <c r="D16" s="1">
        <v>744</v>
      </c>
      <c r="E16" s="1">
        <v>186</v>
      </c>
      <c r="F16" s="1">
        <v>172</v>
      </c>
      <c r="G16" s="1">
        <v>500</v>
      </c>
      <c r="H16" s="1">
        <v>58</v>
      </c>
      <c r="I16" s="1">
        <v>14</v>
      </c>
      <c r="J16" s="1" t="s">
        <v>63</v>
      </c>
      <c r="K16" s="1">
        <f t="shared" si="0"/>
        <v>0.903225806451613</v>
      </c>
      <c r="L16" s="1">
        <f t="shared" si="1"/>
        <v>0.747826086956522</v>
      </c>
      <c r="M16" s="1">
        <f t="shared" si="2"/>
        <v>0.924731182795699</v>
      </c>
      <c r="N16" s="1">
        <f t="shared" si="3"/>
        <v>0.972762645914397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 t="s">
        <v>39</v>
      </c>
      <c r="B17" s="1" t="s">
        <v>32</v>
      </c>
      <c r="C17" s="1" t="s">
        <v>31</v>
      </c>
      <c r="D17" s="1">
        <v>744</v>
      </c>
      <c r="E17" s="1">
        <v>186</v>
      </c>
      <c r="F17" s="1">
        <v>46</v>
      </c>
      <c r="G17" s="1">
        <v>7840</v>
      </c>
      <c r="H17" s="1">
        <v>2070</v>
      </c>
      <c r="I17" s="1">
        <v>16</v>
      </c>
      <c r="J17" s="1" t="s">
        <v>64</v>
      </c>
      <c r="K17" s="1">
        <f t="shared" si="0"/>
        <v>0.790814279983955</v>
      </c>
      <c r="L17" s="1">
        <f t="shared" si="1"/>
        <v>0.0217391304347826</v>
      </c>
      <c r="M17" s="1">
        <f t="shared" si="2"/>
        <v>0.741935483870968</v>
      </c>
      <c r="N17" s="1">
        <f t="shared" si="3"/>
        <v>0.9979633401222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 t="s">
        <v>29</v>
      </c>
      <c r="B18" s="1" t="s">
        <v>30</v>
      </c>
      <c r="C18" s="1" t="s">
        <v>31</v>
      </c>
      <c r="D18" s="1">
        <v>744</v>
      </c>
      <c r="E18" s="1">
        <v>186</v>
      </c>
      <c r="F18" s="1">
        <v>62</v>
      </c>
      <c r="G18" s="1">
        <v>524</v>
      </c>
      <c r="H18" s="1">
        <v>34</v>
      </c>
      <c r="I18" s="1">
        <v>124</v>
      </c>
      <c r="J18" s="1" t="s">
        <v>65</v>
      </c>
      <c r="K18" s="1">
        <f t="shared" si="0"/>
        <v>0.787634408602151</v>
      </c>
      <c r="L18" s="1">
        <f t="shared" si="1"/>
        <v>0.645833333333333</v>
      </c>
      <c r="M18" s="1">
        <f t="shared" si="2"/>
        <v>0.333333333333333</v>
      </c>
      <c r="N18" s="1">
        <f t="shared" si="3"/>
        <v>0.808641975308642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" t="s">
        <v>29</v>
      </c>
      <c r="B19" s="1" t="s">
        <v>32</v>
      </c>
      <c r="C19" s="1" t="s">
        <v>31</v>
      </c>
      <c r="D19" s="1">
        <v>744</v>
      </c>
      <c r="E19" s="1">
        <v>186</v>
      </c>
      <c r="F19" s="1">
        <v>26</v>
      </c>
      <c r="G19" s="1">
        <v>9470</v>
      </c>
      <c r="H19" s="1">
        <v>440</v>
      </c>
      <c r="I19" s="1">
        <v>36</v>
      </c>
      <c r="J19" s="1" t="s">
        <v>66</v>
      </c>
      <c r="K19" s="1">
        <f t="shared" si="0"/>
        <v>0.952266345768151</v>
      </c>
      <c r="L19" s="1">
        <f t="shared" si="1"/>
        <v>0.055793991416309</v>
      </c>
      <c r="M19" s="1">
        <f t="shared" si="2"/>
        <v>0.419354838709677</v>
      </c>
      <c r="N19" s="1">
        <f t="shared" si="3"/>
        <v>0.996212918156953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" t="s">
        <v>33</v>
      </c>
      <c r="B20" s="1" t="s">
        <v>30</v>
      </c>
      <c r="C20" s="1" t="s">
        <v>31</v>
      </c>
      <c r="D20" s="1">
        <v>744</v>
      </c>
      <c r="E20" s="1">
        <v>186</v>
      </c>
      <c r="F20" s="1">
        <v>52</v>
      </c>
      <c r="G20" s="1">
        <v>530</v>
      </c>
      <c r="H20" s="1">
        <v>28</v>
      </c>
      <c r="I20" s="1">
        <v>134</v>
      </c>
      <c r="J20" s="1" t="s">
        <v>67</v>
      </c>
      <c r="K20" s="1">
        <f t="shared" si="0"/>
        <v>0.782258064516129</v>
      </c>
      <c r="L20" s="1">
        <f t="shared" si="1"/>
        <v>0.65</v>
      </c>
      <c r="M20" s="1">
        <f t="shared" si="2"/>
        <v>0.279569892473118</v>
      </c>
      <c r="N20" s="1">
        <f t="shared" si="3"/>
        <v>0.798192771084337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1" t="s">
        <v>33</v>
      </c>
      <c r="B21" s="1" t="s">
        <v>32</v>
      </c>
      <c r="C21" s="1" t="s">
        <v>31</v>
      </c>
      <c r="D21" s="1">
        <v>744</v>
      </c>
      <c r="E21" s="1">
        <v>186</v>
      </c>
      <c r="F21" s="1">
        <v>18</v>
      </c>
      <c r="G21" s="1">
        <v>9561</v>
      </c>
      <c r="H21" s="1">
        <v>349</v>
      </c>
      <c r="I21" s="1">
        <v>44</v>
      </c>
      <c r="J21" s="1" t="s">
        <v>68</v>
      </c>
      <c r="K21" s="1">
        <f t="shared" si="0"/>
        <v>0.960589651022864</v>
      </c>
      <c r="L21" s="1">
        <f t="shared" si="1"/>
        <v>0.0490463215258856</v>
      </c>
      <c r="M21" s="1">
        <f t="shared" si="2"/>
        <v>0.290322580645161</v>
      </c>
      <c r="N21" s="1">
        <f t="shared" si="3"/>
        <v>0.995419052576783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1" t="s">
        <v>34</v>
      </c>
      <c r="B22" s="1" t="s">
        <v>30</v>
      </c>
      <c r="C22" s="1" t="s">
        <v>31</v>
      </c>
      <c r="D22" s="1">
        <v>744</v>
      </c>
      <c r="E22" s="1">
        <v>186</v>
      </c>
      <c r="F22" s="1">
        <v>186</v>
      </c>
      <c r="G22" s="1">
        <v>558</v>
      </c>
      <c r="H22" s="1">
        <v>0</v>
      </c>
      <c r="I22" s="1">
        <v>0</v>
      </c>
      <c r="J22" s="1" t="s">
        <v>54</v>
      </c>
      <c r="K22" s="1">
        <f t="shared" si="0"/>
        <v>1</v>
      </c>
      <c r="L22" s="1">
        <f t="shared" si="1"/>
        <v>1</v>
      </c>
      <c r="M22" s="1">
        <f t="shared" si="2"/>
        <v>1</v>
      </c>
      <c r="N22" s="1">
        <f t="shared" si="3"/>
        <v>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A23" s="1" t="s">
        <v>34</v>
      </c>
      <c r="B23" s="1" t="s">
        <v>32</v>
      </c>
      <c r="C23" s="1" t="s">
        <v>31</v>
      </c>
      <c r="D23" s="1">
        <v>744</v>
      </c>
      <c r="E23" s="1">
        <v>186</v>
      </c>
      <c r="F23" s="1">
        <v>37</v>
      </c>
      <c r="G23" s="1">
        <v>8087</v>
      </c>
      <c r="H23" s="1">
        <v>1823</v>
      </c>
      <c r="I23" s="1">
        <v>25</v>
      </c>
      <c r="J23" s="1" t="s">
        <v>69</v>
      </c>
      <c r="K23" s="1">
        <f t="shared" si="0"/>
        <v>0.81468110709988</v>
      </c>
      <c r="L23" s="1">
        <f t="shared" si="1"/>
        <v>0.0198924731182796</v>
      </c>
      <c r="M23" s="1">
        <f t="shared" si="2"/>
        <v>0.596774193548387</v>
      </c>
      <c r="N23" s="1">
        <f t="shared" si="3"/>
        <v>0.996918145956608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A24" s="1" t="s">
        <v>35</v>
      </c>
      <c r="B24" s="1" t="s">
        <v>30</v>
      </c>
      <c r="C24" s="1" t="s">
        <v>31</v>
      </c>
      <c r="D24" s="1">
        <v>744</v>
      </c>
      <c r="E24" s="1">
        <v>186</v>
      </c>
      <c r="F24" s="1">
        <v>186</v>
      </c>
      <c r="G24" s="1">
        <v>558</v>
      </c>
      <c r="H24" s="1">
        <v>0</v>
      </c>
      <c r="I24" s="1">
        <v>0</v>
      </c>
      <c r="J24" s="1" t="s">
        <v>54</v>
      </c>
      <c r="K24" s="1">
        <f t="shared" si="0"/>
        <v>1</v>
      </c>
      <c r="L24" s="1">
        <f t="shared" si="1"/>
        <v>1</v>
      </c>
      <c r="M24" s="1">
        <f t="shared" si="2"/>
        <v>1</v>
      </c>
      <c r="N24" s="1">
        <f t="shared" si="3"/>
        <v>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A25" s="1" t="s">
        <v>35</v>
      </c>
      <c r="B25" s="1" t="s">
        <v>32</v>
      </c>
      <c r="C25" s="1" t="s">
        <v>31</v>
      </c>
      <c r="D25" s="1">
        <v>744</v>
      </c>
      <c r="E25" s="1">
        <v>186</v>
      </c>
      <c r="F25" s="1">
        <v>30</v>
      </c>
      <c r="G25" s="1">
        <v>9393</v>
      </c>
      <c r="H25" s="1">
        <v>517</v>
      </c>
      <c r="I25" s="1">
        <v>32</v>
      </c>
      <c r="J25" s="1" t="s">
        <v>70</v>
      </c>
      <c r="K25" s="1">
        <f t="shared" si="0"/>
        <v>0.944945848375451</v>
      </c>
      <c r="L25" s="1">
        <f t="shared" si="1"/>
        <v>0.0548446069469835</v>
      </c>
      <c r="M25" s="1">
        <f t="shared" si="2"/>
        <v>0.483870967741935</v>
      </c>
      <c r="N25" s="1">
        <f t="shared" si="3"/>
        <v>0.996604774535809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" t="s">
        <v>36</v>
      </c>
      <c r="B26" s="1" t="s">
        <v>30</v>
      </c>
      <c r="C26" s="1" t="s">
        <v>31</v>
      </c>
      <c r="D26" s="1">
        <v>744</v>
      </c>
      <c r="E26" s="1">
        <v>186</v>
      </c>
      <c r="F26" s="1">
        <v>100</v>
      </c>
      <c r="G26" s="1">
        <v>515</v>
      </c>
      <c r="H26" s="1">
        <v>43</v>
      </c>
      <c r="I26" s="1">
        <v>86</v>
      </c>
      <c r="J26" s="1" t="s">
        <v>71</v>
      </c>
      <c r="K26" s="1">
        <f t="shared" si="0"/>
        <v>0.826612903225806</v>
      </c>
      <c r="L26" s="1">
        <f t="shared" si="1"/>
        <v>0.699300699300699</v>
      </c>
      <c r="M26" s="1">
        <f t="shared" si="2"/>
        <v>0.537634408602151</v>
      </c>
      <c r="N26" s="1">
        <f t="shared" si="3"/>
        <v>0.856905158069884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A27" s="1" t="s">
        <v>36</v>
      </c>
      <c r="B27" s="1" t="s">
        <v>32</v>
      </c>
      <c r="C27" s="1" t="s">
        <v>31</v>
      </c>
      <c r="D27" s="1">
        <v>744</v>
      </c>
      <c r="E27" s="1">
        <v>186</v>
      </c>
      <c r="F27" s="1">
        <v>33</v>
      </c>
      <c r="G27" s="1">
        <v>8979</v>
      </c>
      <c r="H27" s="1">
        <v>931</v>
      </c>
      <c r="I27" s="1">
        <v>29</v>
      </c>
      <c r="J27" s="1" t="s">
        <v>72</v>
      </c>
      <c r="K27" s="1">
        <f t="shared" si="0"/>
        <v>0.903730445246691</v>
      </c>
      <c r="L27" s="1">
        <f t="shared" si="1"/>
        <v>0.0342323651452282</v>
      </c>
      <c r="M27" s="1">
        <f t="shared" si="2"/>
        <v>0.532258064516129</v>
      </c>
      <c r="N27" s="1">
        <f t="shared" si="3"/>
        <v>0.996780639431616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A28" s="1" t="s">
        <v>37</v>
      </c>
      <c r="B28" s="1" t="s">
        <v>30</v>
      </c>
      <c r="C28" s="1" t="s">
        <v>31</v>
      </c>
      <c r="D28" s="1">
        <v>744</v>
      </c>
      <c r="E28" s="1">
        <v>186</v>
      </c>
      <c r="F28" s="1">
        <v>97</v>
      </c>
      <c r="G28" s="1">
        <v>476</v>
      </c>
      <c r="H28" s="1">
        <v>82</v>
      </c>
      <c r="I28" s="1">
        <v>89</v>
      </c>
      <c r="J28" s="1" t="s">
        <v>73</v>
      </c>
      <c r="K28" s="1">
        <f t="shared" si="0"/>
        <v>0.770161290322581</v>
      </c>
      <c r="L28" s="1">
        <f t="shared" si="1"/>
        <v>0.541899441340782</v>
      </c>
      <c r="M28" s="1">
        <f t="shared" si="2"/>
        <v>0.521505376344086</v>
      </c>
      <c r="N28" s="1">
        <f t="shared" si="3"/>
        <v>0.842477876106195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A29" s="1" t="s">
        <v>37</v>
      </c>
      <c r="B29" s="1" t="s">
        <v>32</v>
      </c>
      <c r="C29" s="1" t="s">
        <v>31</v>
      </c>
      <c r="D29" s="1">
        <v>744</v>
      </c>
      <c r="E29" s="1">
        <v>186</v>
      </c>
      <c r="F29" s="1">
        <v>42</v>
      </c>
      <c r="G29" s="1">
        <v>8692</v>
      </c>
      <c r="H29" s="1">
        <v>1218</v>
      </c>
      <c r="I29" s="1">
        <v>20</v>
      </c>
      <c r="J29" s="1" t="s">
        <v>74</v>
      </c>
      <c r="K29" s="1">
        <f t="shared" si="0"/>
        <v>0.875852386682712</v>
      </c>
      <c r="L29" s="1">
        <f t="shared" si="1"/>
        <v>0.0333333333333333</v>
      </c>
      <c r="M29" s="1">
        <f t="shared" si="2"/>
        <v>0.67741935483871</v>
      </c>
      <c r="N29" s="1">
        <f t="shared" si="3"/>
        <v>0.997704315886134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A30" s="1" t="s">
        <v>38</v>
      </c>
      <c r="B30" s="1" t="s">
        <v>30</v>
      </c>
      <c r="C30" s="1" t="s">
        <v>31</v>
      </c>
      <c r="D30" s="1">
        <v>744</v>
      </c>
      <c r="E30" s="1">
        <v>186</v>
      </c>
      <c r="F30" s="1">
        <v>64</v>
      </c>
      <c r="G30" s="1">
        <v>538</v>
      </c>
      <c r="H30" s="1">
        <v>20</v>
      </c>
      <c r="I30" s="1">
        <v>122</v>
      </c>
      <c r="J30" s="1" t="s">
        <v>75</v>
      </c>
      <c r="K30" s="1">
        <f t="shared" si="0"/>
        <v>0.809139784946237</v>
      </c>
      <c r="L30" s="1">
        <f t="shared" si="1"/>
        <v>0.761904761904762</v>
      </c>
      <c r="M30" s="1">
        <f t="shared" si="2"/>
        <v>0.344086021505376</v>
      </c>
      <c r="N30" s="1">
        <f t="shared" si="3"/>
        <v>0.815151515151515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1" t="s">
        <v>38</v>
      </c>
      <c r="B31" s="1" t="s">
        <v>32</v>
      </c>
      <c r="C31" s="1" t="s">
        <v>31</v>
      </c>
      <c r="D31" s="1">
        <v>744</v>
      </c>
      <c r="E31" s="1">
        <v>186</v>
      </c>
      <c r="F31" s="1">
        <v>19</v>
      </c>
      <c r="G31" s="1">
        <v>9531</v>
      </c>
      <c r="H31" s="1">
        <v>379</v>
      </c>
      <c r="I31" s="1">
        <v>43</v>
      </c>
      <c r="J31" s="1" t="s">
        <v>76</v>
      </c>
      <c r="K31" s="1">
        <f t="shared" si="0"/>
        <v>0.957681508223024</v>
      </c>
      <c r="L31" s="1">
        <f t="shared" si="1"/>
        <v>0.0477386934673367</v>
      </c>
      <c r="M31" s="1">
        <f t="shared" si="2"/>
        <v>0.306451612903226</v>
      </c>
      <c r="N31" s="1">
        <f t="shared" si="3"/>
        <v>0.995508669312722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A32" s="1" t="s">
        <v>39</v>
      </c>
      <c r="B32" s="1" t="s">
        <v>30</v>
      </c>
      <c r="C32" s="1" t="s">
        <v>31</v>
      </c>
      <c r="D32" s="1">
        <v>744</v>
      </c>
      <c r="E32" s="1">
        <v>186</v>
      </c>
      <c r="F32" s="1">
        <v>168</v>
      </c>
      <c r="G32" s="1">
        <v>545</v>
      </c>
      <c r="H32" s="1">
        <v>13</v>
      </c>
      <c r="I32" s="1">
        <v>18</v>
      </c>
      <c r="J32" s="1" t="s">
        <v>77</v>
      </c>
      <c r="K32" s="1">
        <f t="shared" si="0"/>
        <v>0.958333333333333</v>
      </c>
      <c r="L32" s="1">
        <f t="shared" si="1"/>
        <v>0.92817679558011</v>
      </c>
      <c r="M32" s="1">
        <f t="shared" si="2"/>
        <v>0.903225806451613</v>
      </c>
      <c r="N32" s="1">
        <f t="shared" si="3"/>
        <v>0.968028419182948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 t="s">
        <v>39</v>
      </c>
      <c r="B33" s="1" t="s">
        <v>32</v>
      </c>
      <c r="C33" s="1" t="s">
        <v>31</v>
      </c>
      <c r="D33" s="1">
        <v>744</v>
      </c>
      <c r="E33" s="1">
        <v>186</v>
      </c>
      <c r="F33" s="1">
        <v>36</v>
      </c>
      <c r="G33" s="1">
        <v>8870</v>
      </c>
      <c r="H33" s="1">
        <v>1040</v>
      </c>
      <c r="I33" s="1">
        <v>26</v>
      </c>
      <c r="J33" s="1" t="s">
        <v>78</v>
      </c>
      <c r="K33" s="1">
        <f t="shared" si="0"/>
        <v>0.893100681909346</v>
      </c>
      <c r="L33" s="1">
        <f t="shared" si="1"/>
        <v>0.033457249070632</v>
      </c>
      <c r="M33" s="1">
        <f t="shared" si="2"/>
        <v>0.580645161290323</v>
      </c>
      <c r="N33" s="1">
        <f t="shared" si="3"/>
        <v>0.997077338129496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" t="s">
        <v>29</v>
      </c>
      <c r="B34" s="1" t="s">
        <v>30</v>
      </c>
      <c r="C34" s="1" t="s">
        <v>31</v>
      </c>
      <c r="D34" s="1">
        <v>744</v>
      </c>
      <c r="E34" s="1">
        <v>186</v>
      </c>
      <c r="F34" s="1">
        <v>88</v>
      </c>
      <c r="G34" s="1">
        <v>517</v>
      </c>
      <c r="H34" s="1">
        <v>41</v>
      </c>
      <c r="I34" s="1">
        <v>98</v>
      </c>
      <c r="J34" s="1" t="s">
        <v>79</v>
      </c>
      <c r="K34" s="1">
        <f t="shared" si="0"/>
        <v>0.813172043010753</v>
      </c>
      <c r="L34" s="1">
        <f t="shared" si="1"/>
        <v>0.682170542635659</v>
      </c>
      <c r="M34" s="1">
        <f t="shared" si="2"/>
        <v>0.473118279569892</v>
      </c>
      <c r="N34" s="1">
        <f t="shared" si="3"/>
        <v>0.840650406504065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>
      <c r="A35" s="1" t="s">
        <v>29</v>
      </c>
      <c r="B35" s="1" t="s">
        <v>32</v>
      </c>
      <c r="C35" s="1" t="s">
        <v>31</v>
      </c>
      <c r="D35" s="1">
        <v>744</v>
      </c>
      <c r="E35" s="1">
        <v>186</v>
      </c>
      <c r="F35" s="1">
        <v>20</v>
      </c>
      <c r="G35" s="1">
        <v>9168</v>
      </c>
      <c r="H35" s="1">
        <v>742</v>
      </c>
      <c r="I35" s="1">
        <v>42</v>
      </c>
      <c r="J35" s="1" t="s">
        <v>80</v>
      </c>
      <c r="K35" s="1">
        <f t="shared" si="0"/>
        <v>0.921379863618131</v>
      </c>
      <c r="L35" s="1">
        <f t="shared" si="1"/>
        <v>0.026246719160105</v>
      </c>
      <c r="M35" s="1">
        <f t="shared" si="2"/>
        <v>0.32258064516129</v>
      </c>
      <c r="N35" s="1">
        <f t="shared" si="3"/>
        <v>0.995439739413681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>
      <c r="A36" s="1" t="s">
        <v>33</v>
      </c>
      <c r="B36" s="1" t="s">
        <v>30</v>
      </c>
      <c r="C36" s="1" t="s">
        <v>31</v>
      </c>
      <c r="D36" s="1">
        <v>744</v>
      </c>
      <c r="E36" s="1">
        <v>186</v>
      </c>
      <c r="F36" s="1">
        <v>73</v>
      </c>
      <c r="G36" s="1">
        <v>525</v>
      </c>
      <c r="H36" s="1">
        <v>33</v>
      </c>
      <c r="I36" s="1">
        <v>113</v>
      </c>
      <c r="J36" s="1" t="s">
        <v>81</v>
      </c>
      <c r="K36" s="1">
        <f t="shared" si="0"/>
        <v>0.803763440860215</v>
      </c>
      <c r="L36" s="1">
        <f t="shared" si="1"/>
        <v>0.688679245283019</v>
      </c>
      <c r="M36" s="1">
        <f t="shared" si="2"/>
        <v>0.39247311827957</v>
      </c>
      <c r="N36" s="1">
        <f t="shared" si="3"/>
        <v>0.822884012539185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>
      <c r="A37" s="1" t="s">
        <v>33</v>
      </c>
      <c r="B37" s="1" t="s">
        <v>32</v>
      </c>
      <c r="C37" s="1" t="s">
        <v>31</v>
      </c>
      <c r="D37" s="1">
        <v>744</v>
      </c>
      <c r="E37" s="1">
        <v>186</v>
      </c>
      <c r="F37" s="1">
        <v>16</v>
      </c>
      <c r="G37" s="1">
        <v>9276</v>
      </c>
      <c r="H37" s="1">
        <v>634</v>
      </c>
      <c r="I37" s="1">
        <v>46</v>
      </c>
      <c r="J37" s="1" t="s">
        <v>82</v>
      </c>
      <c r="K37" s="1">
        <f t="shared" si="0"/>
        <v>0.931809065383073</v>
      </c>
      <c r="L37" s="1">
        <f t="shared" si="1"/>
        <v>0.0246153846153846</v>
      </c>
      <c r="M37" s="1">
        <f t="shared" si="2"/>
        <v>0.258064516129032</v>
      </c>
      <c r="N37" s="1">
        <f t="shared" si="3"/>
        <v>0.995065436601588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>
      <c r="A38" s="1" t="s">
        <v>34</v>
      </c>
      <c r="B38" s="1" t="s">
        <v>30</v>
      </c>
      <c r="C38" s="1" t="s">
        <v>31</v>
      </c>
      <c r="D38" s="1">
        <v>744</v>
      </c>
      <c r="E38" s="1">
        <v>186</v>
      </c>
      <c r="F38" s="1">
        <v>186</v>
      </c>
      <c r="G38" s="1">
        <v>558</v>
      </c>
      <c r="H38" s="1">
        <v>0</v>
      </c>
      <c r="I38" s="1">
        <v>0</v>
      </c>
      <c r="J38" s="1" t="s">
        <v>54</v>
      </c>
      <c r="K38" s="1">
        <f t="shared" si="0"/>
        <v>1</v>
      </c>
      <c r="L38" s="1">
        <f t="shared" si="1"/>
        <v>1</v>
      </c>
      <c r="M38" s="1">
        <f t="shared" si="2"/>
        <v>1</v>
      </c>
      <c r="N38" s="1">
        <f t="shared" si="3"/>
        <v>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>
      <c r="A39" s="1" t="s">
        <v>34</v>
      </c>
      <c r="B39" s="1" t="s">
        <v>32</v>
      </c>
      <c r="C39" s="1" t="s">
        <v>31</v>
      </c>
      <c r="D39" s="1">
        <v>744</v>
      </c>
      <c r="E39" s="1">
        <v>186</v>
      </c>
      <c r="F39" s="1">
        <v>28</v>
      </c>
      <c r="G39" s="1">
        <v>7929</v>
      </c>
      <c r="H39" s="1">
        <v>1981</v>
      </c>
      <c r="I39" s="1">
        <v>34</v>
      </c>
      <c r="J39" s="1" t="s">
        <v>83</v>
      </c>
      <c r="K39" s="1">
        <f t="shared" si="0"/>
        <v>0.797934215804252</v>
      </c>
      <c r="L39" s="1">
        <f t="shared" si="1"/>
        <v>0.0139372822299652</v>
      </c>
      <c r="M39" s="1">
        <f t="shared" si="2"/>
        <v>0.451612903225806</v>
      </c>
      <c r="N39" s="1">
        <f t="shared" si="3"/>
        <v>0.995730252417431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1" t="s">
        <v>35</v>
      </c>
      <c r="B40" s="1" t="s">
        <v>30</v>
      </c>
      <c r="C40" s="1" t="s">
        <v>31</v>
      </c>
      <c r="D40" s="1">
        <v>744</v>
      </c>
      <c r="E40" s="1">
        <v>186</v>
      </c>
      <c r="F40" s="1">
        <v>186</v>
      </c>
      <c r="G40" s="1">
        <v>558</v>
      </c>
      <c r="H40" s="1">
        <v>0</v>
      </c>
      <c r="I40" s="1">
        <v>0</v>
      </c>
      <c r="J40" s="1" t="s">
        <v>54</v>
      </c>
      <c r="K40" s="1">
        <f t="shared" si="0"/>
        <v>1</v>
      </c>
      <c r="L40" s="1">
        <f t="shared" si="1"/>
        <v>1</v>
      </c>
      <c r="M40" s="1">
        <f t="shared" si="2"/>
        <v>1</v>
      </c>
      <c r="N40" s="1">
        <f t="shared" si="3"/>
        <v>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1" t="s">
        <v>35</v>
      </c>
      <c r="B41" s="1" t="s">
        <v>32</v>
      </c>
      <c r="C41" s="1" t="s">
        <v>31</v>
      </c>
      <c r="D41" s="1">
        <v>744</v>
      </c>
      <c r="E41" s="1">
        <v>186</v>
      </c>
      <c r="F41" s="1">
        <v>23</v>
      </c>
      <c r="G41" s="1">
        <v>9122</v>
      </c>
      <c r="H41" s="1">
        <v>788</v>
      </c>
      <c r="I41" s="1">
        <v>39</v>
      </c>
      <c r="J41" s="1" t="s">
        <v>84</v>
      </c>
      <c r="K41" s="1">
        <f t="shared" si="0"/>
        <v>0.917067789811472</v>
      </c>
      <c r="L41" s="1">
        <f t="shared" si="1"/>
        <v>0.0283600493218249</v>
      </c>
      <c r="M41" s="1">
        <f t="shared" si="2"/>
        <v>0.370967741935484</v>
      </c>
      <c r="N41" s="1">
        <f t="shared" si="3"/>
        <v>0.995742822835935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1" t="s">
        <v>36</v>
      </c>
      <c r="B42" s="1" t="s">
        <v>30</v>
      </c>
      <c r="C42" s="1" t="s">
        <v>31</v>
      </c>
      <c r="D42" s="1">
        <v>744</v>
      </c>
      <c r="E42" s="1">
        <v>186</v>
      </c>
      <c r="F42" s="1">
        <v>117</v>
      </c>
      <c r="G42" s="1">
        <v>528</v>
      </c>
      <c r="H42" s="1">
        <v>30</v>
      </c>
      <c r="I42" s="1">
        <v>69</v>
      </c>
      <c r="J42" s="1" t="s">
        <v>85</v>
      </c>
      <c r="K42" s="1">
        <f t="shared" si="0"/>
        <v>0.866935483870968</v>
      </c>
      <c r="L42" s="1">
        <f t="shared" si="1"/>
        <v>0.795918367346939</v>
      </c>
      <c r="M42" s="1">
        <f t="shared" si="2"/>
        <v>0.629032258064516</v>
      </c>
      <c r="N42" s="1">
        <f t="shared" si="3"/>
        <v>0.884422110552764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1" t="s">
        <v>36</v>
      </c>
      <c r="B43" s="1" t="s">
        <v>32</v>
      </c>
      <c r="C43" s="1" t="s">
        <v>31</v>
      </c>
      <c r="D43" s="1">
        <v>744</v>
      </c>
      <c r="E43" s="1">
        <v>186</v>
      </c>
      <c r="F43" s="1">
        <v>18</v>
      </c>
      <c r="G43" s="1">
        <v>8873</v>
      </c>
      <c r="H43" s="1">
        <v>1037</v>
      </c>
      <c r="I43" s="1">
        <v>44</v>
      </c>
      <c r="J43" s="1" t="s">
        <v>86</v>
      </c>
      <c r="K43" s="1">
        <f t="shared" si="0"/>
        <v>0.891596470116326</v>
      </c>
      <c r="L43" s="1">
        <f t="shared" si="1"/>
        <v>0.0170616113744076</v>
      </c>
      <c r="M43" s="1">
        <f t="shared" si="2"/>
        <v>0.290322580645161</v>
      </c>
      <c r="N43" s="1">
        <f t="shared" si="3"/>
        <v>0.995065605024111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1" t="s">
        <v>37</v>
      </c>
      <c r="B44" s="1" t="s">
        <v>30</v>
      </c>
      <c r="C44" s="1" t="s">
        <v>31</v>
      </c>
      <c r="D44" s="1">
        <v>744</v>
      </c>
      <c r="E44" s="1">
        <v>186</v>
      </c>
      <c r="F44" s="1">
        <v>110</v>
      </c>
      <c r="G44" s="1">
        <v>490</v>
      </c>
      <c r="H44" s="1">
        <v>68</v>
      </c>
      <c r="I44" s="1">
        <v>76</v>
      </c>
      <c r="J44" s="1" t="s">
        <v>87</v>
      </c>
      <c r="K44" s="1">
        <f t="shared" si="0"/>
        <v>0.806451612903226</v>
      </c>
      <c r="L44" s="1">
        <f t="shared" si="1"/>
        <v>0.617977528089888</v>
      </c>
      <c r="M44" s="1">
        <f t="shared" si="2"/>
        <v>0.591397849462366</v>
      </c>
      <c r="N44" s="1">
        <f t="shared" si="3"/>
        <v>0.865724381625442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1" t="s">
        <v>37</v>
      </c>
      <c r="B45" s="1" t="s">
        <v>32</v>
      </c>
      <c r="C45" s="1" t="s">
        <v>31</v>
      </c>
      <c r="D45" s="1">
        <v>744</v>
      </c>
      <c r="E45" s="1">
        <v>186</v>
      </c>
      <c r="F45" s="1">
        <v>24</v>
      </c>
      <c r="G45" s="1">
        <v>8641</v>
      </c>
      <c r="H45" s="1">
        <v>1269</v>
      </c>
      <c r="I45" s="1">
        <v>38</v>
      </c>
      <c r="J45" s="1" t="s">
        <v>88</v>
      </c>
      <c r="K45" s="1">
        <f t="shared" si="0"/>
        <v>0.868933012434817</v>
      </c>
      <c r="L45" s="1">
        <f t="shared" si="1"/>
        <v>0.0185614849187935</v>
      </c>
      <c r="M45" s="1">
        <f t="shared" si="2"/>
        <v>0.387096774193548</v>
      </c>
      <c r="N45" s="1">
        <f t="shared" si="3"/>
        <v>0.995621615393478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1" t="s">
        <v>38</v>
      </c>
      <c r="B46" s="1" t="s">
        <v>30</v>
      </c>
      <c r="C46" s="1" t="s">
        <v>31</v>
      </c>
      <c r="D46" s="1">
        <v>744</v>
      </c>
      <c r="E46" s="1">
        <v>186</v>
      </c>
      <c r="F46" s="1">
        <v>93</v>
      </c>
      <c r="G46" s="1">
        <v>538</v>
      </c>
      <c r="H46" s="1">
        <v>20</v>
      </c>
      <c r="I46" s="1">
        <v>93</v>
      </c>
      <c r="J46" s="1" t="s">
        <v>89</v>
      </c>
      <c r="K46" s="1">
        <f t="shared" si="0"/>
        <v>0.848118279569892</v>
      </c>
      <c r="L46" s="1">
        <f t="shared" si="1"/>
        <v>0.823008849557522</v>
      </c>
      <c r="M46" s="1">
        <f t="shared" si="2"/>
        <v>0.5</v>
      </c>
      <c r="N46" s="1">
        <f t="shared" si="3"/>
        <v>0.852614896988906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1" t="s">
        <v>38</v>
      </c>
      <c r="B47" s="1" t="s">
        <v>32</v>
      </c>
      <c r="C47" s="1" t="s">
        <v>31</v>
      </c>
      <c r="D47" s="1">
        <v>744</v>
      </c>
      <c r="E47" s="1">
        <v>186</v>
      </c>
      <c r="F47" s="1">
        <v>17</v>
      </c>
      <c r="G47" s="1">
        <v>9322</v>
      </c>
      <c r="H47" s="1">
        <v>588</v>
      </c>
      <c r="I47" s="1">
        <v>45</v>
      </c>
      <c r="J47" s="1" t="s">
        <v>90</v>
      </c>
      <c r="K47" s="1">
        <f t="shared" si="0"/>
        <v>0.936522262334537</v>
      </c>
      <c r="L47" s="1">
        <f t="shared" si="1"/>
        <v>0.028099173553719</v>
      </c>
      <c r="M47" s="1">
        <f t="shared" si="2"/>
        <v>0.274193548387097</v>
      </c>
      <c r="N47" s="1">
        <f t="shared" si="3"/>
        <v>0.995195900501762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1" t="s">
        <v>39</v>
      </c>
      <c r="B48" s="1" t="s">
        <v>30</v>
      </c>
      <c r="C48" s="1" t="s">
        <v>31</v>
      </c>
      <c r="D48" s="1">
        <v>744</v>
      </c>
      <c r="E48" s="1">
        <v>186</v>
      </c>
      <c r="F48" s="1">
        <v>182</v>
      </c>
      <c r="G48" s="1">
        <v>549</v>
      </c>
      <c r="H48" s="1">
        <v>9</v>
      </c>
      <c r="I48" s="1">
        <v>4</v>
      </c>
      <c r="J48" s="1" t="s">
        <v>91</v>
      </c>
      <c r="K48" s="1">
        <f t="shared" si="0"/>
        <v>0.98252688172043</v>
      </c>
      <c r="L48" s="1">
        <f t="shared" si="1"/>
        <v>0.952879581151832</v>
      </c>
      <c r="M48" s="1">
        <f t="shared" si="2"/>
        <v>0.978494623655914</v>
      </c>
      <c r="N48" s="1">
        <f t="shared" si="3"/>
        <v>0.992766726943942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1" t="s">
        <v>39</v>
      </c>
      <c r="B49" s="1" t="s">
        <v>32</v>
      </c>
      <c r="C49" s="1" t="s">
        <v>31</v>
      </c>
      <c r="D49" s="1">
        <v>744</v>
      </c>
      <c r="E49" s="1">
        <v>186</v>
      </c>
      <c r="F49" s="1">
        <v>37</v>
      </c>
      <c r="G49" s="1">
        <v>8627</v>
      </c>
      <c r="H49" s="1">
        <v>1283</v>
      </c>
      <c r="I49" s="1">
        <v>25</v>
      </c>
      <c r="J49" s="1" t="s">
        <v>92</v>
      </c>
      <c r="K49" s="1">
        <f t="shared" si="0"/>
        <v>0.868832731648616</v>
      </c>
      <c r="L49" s="1">
        <f t="shared" si="1"/>
        <v>0.028030303030303</v>
      </c>
      <c r="M49" s="1">
        <f t="shared" si="2"/>
        <v>0.596774193548387</v>
      </c>
      <c r="N49" s="1">
        <f t="shared" si="3"/>
        <v>0.99711049468331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 t="s">
        <v>29</v>
      </c>
      <c r="B50" s="1" t="s">
        <v>30</v>
      </c>
      <c r="C50" s="1" t="s">
        <v>31</v>
      </c>
      <c r="D50" s="1">
        <v>744</v>
      </c>
      <c r="E50" s="1">
        <v>186</v>
      </c>
      <c r="F50" s="1">
        <v>73</v>
      </c>
      <c r="G50" s="1">
        <v>527</v>
      </c>
      <c r="H50" s="1">
        <v>31</v>
      </c>
      <c r="I50" s="1">
        <v>113</v>
      </c>
      <c r="J50" s="1" t="s">
        <v>93</v>
      </c>
      <c r="K50" s="1">
        <f t="shared" si="0"/>
        <v>0.806451612903226</v>
      </c>
      <c r="L50" s="1">
        <f t="shared" si="1"/>
        <v>0.701923076923077</v>
      </c>
      <c r="M50" s="1">
        <f t="shared" si="2"/>
        <v>0.39247311827957</v>
      </c>
      <c r="N50" s="1">
        <f t="shared" si="3"/>
        <v>0.8234375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 t="s">
        <v>29</v>
      </c>
      <c r="B51" s="1" t="s">
        <v>32</v>
      </c>
      <c r="C51" s="1" t="s">
        <v>31</v>
      </c>
      <c r="D51" s="1">
        <v>744</v>
      </c>
      <c r="E51" s="1">
        <v>186</v>
      </c>
      <c r="F51" s="1">
        <v>21</v>
      </c>
      <c r="G51" s="1">
        <v>9265</v>
      </c>
      <c r="H51" s="1">
        <v>645</v>
      </c>
      <c r="I51" s="1">
        <v>41</v>
      </c>
      <c r="J51" s="1" t="s">
        <v>94</v>
      </c>
      <c r="K51" s="1">
        <f t="shared" si="0"/>
        <v>0.931207380665864</v>
      </c>
      <c r="L51" s="1">
        <f t="shared" si="1"/>
        <v>0.0315315315315315</v>
      </c>
      <c r="M51" s="1">
        <f t="shared" si="2"/>
        <v>0.338709677419355</v>
      </c>
      <c r="N51" s="1">
        <f t="shared" si="3"/>
        <v>0.995594240275091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 t="s">
        <v>33</v>
      </c>
      <c r="B52" s="1" t="s">
        <v>30</v>
      </c>
      <c r="C52" s="1" t="s">
        <v>31</v>
      </c>
      <c r="D52" s="1">
        <v>744</v>
      </c>
      <c r="E52" s="1">
        <v>186</v>
      </c>
      <c r="F52" s="1">
        <v>64</v>
      </c>
      <c r="G52" s="1">
        <v>530</v>
      </c>
      <c r="H52" s="1">
        <v>28</v>
      </c>
      <c r="I52" s="1">
        <v>122</v>
      </c>
      <c r="J52" s="1" t="s">
        <v>95</v>
      </c>
      <c r="K52" s="1">
        <f t="shared" si="0"/>
        <v>0.798387096774194</v>
      </c>
      <c r="L52" s="1">
        <f t="shared" si="1"/>
        <v>0.695652173913043</v>
      </c>
      <c r="M52" s="1">
        <f t="shared" si="2"/>
        <v>0.344086021505376</v>
      </c>
      <c r="N52" s="1">
        <f t="shared" si="3"/>
        <v>0.812883435582822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1" t="s">
        <v>33</v>
      </c>
      <c r="B53" s="1" t="s">
        <v>32</v>
      </c>
      <c r="C53" s="1" t="s">
        <v>31</v>
      </c>
      <c r="D53" s="1">
        <v>744</v>
      </c>
      <c r="E53" s="1">
        <v>186</v>
      </c>
      <c r="F53" s="1">
        <v>20</v>
      </c>
      <c r="G53" s="1">
        <v>9363</v>
      </c>
      <c r="H53" s="1">
        <v>547</v>
      </c>
      <c r="I53" s="1">
        <v>42</v>
      </c>
      <c r="J53" s="1" t="s">
        <v>96</v>
      </c>
      <c r="K53" s="1">
        <f t="shared" si="0"/>
        <v>0.940934616927397</v>
      </c>
      <c r="L53" s="1">
        <f t="shared" si="1"/>
        <v>0.0352733686067019</v>
      </c>
      <c r="M53" s="1">
        <f t="shared" si="2"/>
        <v>0.32258064516129</v>
      </c>
      <c r="N53" s="1">
        <f t="shared" si="3"/>
        <v>0.995534290271132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1" t="s">
        <v>34</v>
      </c>
      <c r="B54" s="1" t="s">
        <v>30</v>
      </c>
      <c r="C54" s="1" t="s">
        <v>31</v>
      </c>
      <c r="D54" s="1">
        <v>744</v>
      </c>
      <c r="E54" s="1">
        <v>186</v>
      </c>
      <c r="F54" s="1">
        <v>186</v>
      </c>
      <c r="G54" s="1">
        <v>558</v>
      </c>
      <c r="H54" s="1">
        <v>0</v>
      </c>
      <c r="I54" s="1">
        <v>0</v>
      </c>
      <c r="J54" s="1" t="s">
        <v>54</v>
      </c>
      <c r="K54" s="1">
        <f t="shared" si="0"/>
        <v>1</v>
      </c>
      <c r="L54" s="1">
        <f t="shared" si="1"/>
        <v>1</v>
      </c>
      <c r="M54" s="1">
        <f t="shared" si="2"/>
        <v>1</v>
      </c>
      <c r="N54" s="1">
        <f t="shared" si="3"/>
        <v>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1" t="s">
        <v>34</v>
      </c>
      <c r="B55" s="1" t="s">
        <v>32</v>
      </c>
      <c r="C55" s="1" t="s">
        <v>31</v>
      </c>
      <c r="D55" s="1">
        <v>744</v>
      </c>
      <c r="E55" s="1">
        <v>186</v>
      </c>
      <c r="F55" s="1">
        <v>33</v>
      </c>
      <c r="G55" s="1">
        <v>7998</v>
      </c>
      <c r="H55" s="1">
        <v>1912</v>
      </c>
      <c r="I55" s="1">
        <v>29</v>
      </c>
      <c r="J55" s="1" t="s">
        <v>97</v>
      </c>
      <c r="K55" s="1">
        <f t="shared" si="0"/>
        <v>0.805354993983153</v>
      </c>
      <c r="L55" s="1">
        <f t="shared" si="1"/>
        <v>0.0169665809768638</v>
      </c>
      <c r="M55" s="1">
        <f t="shared" si="2"/>
        <v>0.532258064516129</v>
      </c>
      <c r="N55" s="1">
        <f t="shared" si="3"/>
        <v>0.996387193222873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1" t="s">
        <v>35</v>
      </c>
      <c r="B56" s="1" t="s">
        <v>30</v>
      </c>
      <c r="C56" s="1" t="s">
        <v>31</v>
      </c>
      <c r="D56" s="1">
        <v>744</v>
      </c>
      <c r="E56" s="1">
        <v>186</v>
      </c>
      <c r="F56" s="1">
        <v>186</v>
      </c>
      <c r="G56" s="1">
        <v>558</v>
      </c>
      <c r="H56" s="1">
        <v>0</v>
      </c>
      <c r="I56" s="1">
        <v>0</v>
      </c>
      <c r="J56" s="1" t="s">
        <v>54</v>
      </c>
      <c r="K56" s="1">
        <f t="shared" si="0"/>
        <v>1</v>
      </c>
      <c r="L56" s="1">
        <f t="shared" si="1"/>
        <v>1</v>
      </c>
      <c r="M56" s="1">
        <f t="shared" si="2"/>
        <v>1</v>
      </c>
      <c r="N56" s="1">
        <f t="shared" si="3"/>
        <v>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1" t="s">
        <v>35</v>
      </c>
      <c r="B57" s="1" t="s">
        <v>32</v>
      </c>
      <c r="C57" s="1" t="s">
        <v>31</v>
      </c>
      <c r="D57" s="1">
        <v>744</v>
      </c>
      <c r="E57" s="1">
        <v>186</v>
      </c>
      <c r="F57" s="1">
        <v>32</v>
      </c>
      <c r="G57" s="1">
        <v>9113</v>
      </c>
      <c r="H57" s="1">
        <v>797</v>
      </c>
      <c r="I57" s="1">
        <v>30</v>
      </c>
      <c r="J57" s="1" t="s">
        <v>98</v>
      </c>
      <c r="K57" s="1">
        <f t="shared" si="0"/>
        <v>0.917067789811472</v>
      </c>
      <c r="L57" s="1">
        <f t="shared" si="1"/>
        <v>0.0386007237635706</v>
      </c>
      <c r="M57" s="1">
        <f t="shared" si="2"/>
        <v>0.516129032258065</v>
      </c>
      <c r="N57" s="1">
        <f t="shared" si="3"/>
        <v>0.99671880126873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1" t="s">
        <v>36</v>
      </c>
      <c r="B58" s="1" t="s">
        <v>30</v>
      </c>
      <c r="C58" s="1" t="s">
        <v>31</v>
      </c>
      <c r="D58" s="1">
        <v>744</v>
      </c>
      <c r="E58" s="1">
        <v>186</v>
      </c>
      <c r="F58" s="1">
        <v>116</v>
      </c>
      <c r="G58" s="1">
        <v>516</v>
      </c>
      <c r="H58" s="1">
        <v>42</v>
      </c>
      <c r="I58" s="1">
        <v>70</v>
      </c>
      <c r="J58" s="1" t="s">
        <v>99</v>
      </c>
      <c r="K58" s="1">
        <f t="shared" si="0"/>
        <v>0.849462365591398</v>
      </c>
      <c r="L58" s="1">
        <f t="shared" si="1"/>
        <v>0.734177215189873</v>
      </c>
      <c r="M58" s="1">
        <f t="shared" si="2"/>
        <v>0.623655913978495</v>
      </c>
      <c r="N58" s="1">
        <f t="shared" si="3"/>
        <v>0.880546075085324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1" t="s">
        <v>36</v>
      </c>
      <c r="B59" s="1" t="s">
        <v>32</v>
      </c>
      <c r="C59" s="1" t="s">
        <v>31</v>
      </c>
      <c r="D59" s="1">
        <v>744</v>
      </c>
      <c r="E59" s="1">
        <v>186</v>
      </c>
      <c r="F59" s="1">
        <v>34</v>
      </c>
      <c r="G59" s="1">
        <v>8815</v>
      </c>
      <c r="H59" s="1">
        <v>1095</v>
      </c>
      <c r="I59" s="1">
        <v>28</v>
      </c>
      <c r="J59" s="1" t="s">
        <v>100</v>
      </c>
      <c r="K59" s="1">
        <f t="shared" si="0"/>
        <v>0.887384677095868</v>
      </c>
      <c r="L59" s="1">
        <f t="shared" si="1"/>
        <v>0.0301151461470328</v>
      </c>
      <c r="M59" s="1">
        <f t="shared" si="2"/>
        <v>0.548387096774194</v>
      </c>
      <c r="N59" s="1">
        <f t="shared" si="3"/>
        <v>0.996833653737419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1" t="s">
        <v>37</v>
      </c>
      <c r="B60" s="1" t="s">
        <v>30</v>
      </c>
      <c r="C60" s="1" t="s">
        <v>31</v>
      </c>
      <c r="D60" s="1">
        <v>744</v>
      </c>
      <c r="E60" s="1">
        <v>186</v>
      </c>
      <c r="F60" s="1">
        <v>90</v>
      </c>
      <c r="G60" s="1">
        <v>497</v>
      </c>
      <c r="H60" s="1">
        <v>61</v>
      </c>
      <c r="I60" s="1">
        <v>96</v>
      </c>
      <c r="J60" s="1" t="s">
        <v>73</v>
      </c>
      <c r="K60" s="1">
        <f t="shared" si="0"/>
        <v>0.788978494623656</v>
      </c>
      <c r="L60" s="1">
        <f t="shared" si="1"/>
        <v>0.596026490066225</v>
      </c>
      <c r="M60" s="1">
        <f t="shared" si="2"/>
        <v>0.483870967741935</v>
      </c>
      <c r="N60" s="1">
        <f t="shared" si="3"/>
        <v>0.838111298482293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1" t="s">
        <v>37</v>
      </c>
      <c r="B61" s="1" t="s">
        <v>32</v>
      </c>
      <c r="C61" s="1" t="s">
        <v>31</v>
      </c>
      <c r="D61" s="1">
        <v>744</v>
      </c>
      <c r="E61" s="1">
        <v>186</v>
      </c>
      <c r="F61" s="1">
        <v>29</v>
      </c>
      <c r="G61" s="1">
        <v>8805</v>
      </c>
      <c r="H61" s="1">
        <v>1105</v>
      </c>
      <c r="I61" s="1">
        <v>33</v>
      </c>
      <c r="J61" s="1" t="s">
        <v>101</v>
      </c>
      <c r="K61" s="1">
        <f t="shared" si="0"/>
        <v>0.885880465302848</v>
      </c>
      <c r="L61" s="1">
        <f t="shared" si="1"/>
        <v>0.0255731922398589</v>
      </c>
      <c r="M61" s="1">
        <f t="shared" si="2"/>
        <v>0.467741935483871</v>
      </c>
      <c r="N61" s="1">
        <f t="shared" si="3"/>
        <v>0.996266123557366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1" t="s">
        <v>38</v>
      </c>
      <c r="B62" s="1" t="s">
        <v>30</v>
      </c>
      <c r="C62" s="1" t="s">
        <v>31</v>
      </c>
      <c r="D62" s="1">
        <v>744</v>
      </c>
      <c r="E62" s="1">
        <v>186</v>
      </c>
      <c r="F62" s="1">
        <v>80</v>
      </c>
      <c r="G62" s="1">
        <v>536</v>
      </c>
      <c r="H62" s="1">
        <v>22</v>
      </c>
      <c r="I62" s="1">
        <v>106</v>
      </c>
      <c r="J62" s="1" t="s">
        <v>102</v>
      </c>
      <c r="K62" s="1">
        <f t="shared" si="0"/>
        <v>0.827956989247312</v>
      </c>
      <c r="L62" s="1">
        <f t="shared" si="1"/>
        <v>0.784313725490196</v>
      </c>
      <c r="M62" s="1">
        <f t="shared" si="2"/>
        <v>0.43010752688172</v>
      </c>
      <c r="N62" s="1">
        <f t="shared" si="3"/>
        <v>0.834890965732087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 t="s">
        <v>38</v>
      </c>
      <c r="B63" s="1" t="s">
        <v>32</v>
      </c>
      <c r="C63" s="1" t="s">
        <v>31</v>
      </c>
      <c r="D63" s="1">
        <v>744</v>
      </c>
      <c r="E63" s="1">
        <v>186</v>
      </c>
      <c r="F63" s="1">
        <v>23</v>
      </c>
      <c r="G63" s="1">
        <v>9342</v>
      </c>
      <c r="H63" s="1">
        <v>568</v>
      </c>
      <c r="I63" s="1">
        <v>39</v>
      </c>
      <c r="J63" s="1" t="s">
        <v>103</v>
      </c>
      <c r="K63" s="1">
        <f t="shared" si="0"/>
        <v>0.939129562775772</v>
      </c>
      <c r="L63" s="1">
        <f t="shared" si="1"/>
        <v>0.038917089678511</v>
      </c>
      <c r="M63" s="1">
        <f t="shared" si="2"/>
        <v>0.370967741935484</v>
      </c>
      <c r="N63" s="1">
        <f t="shared" si="3"/>
        <v>0.995842660697154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>
      <c r="A64" s="1" t="s">
        <v>39</v>
      </c>
      <c r="B64" s="1" t="s">
        <v>30</v>
      </c>
      <c r="C64" s="1" t="s">
        <v>31</v>
      </c>
      <c r="D64" s="1">
        <v>744</v>
      </c>
      <c r="E64" s="1">
        <v>186</v>
      </c>
      <c r="F64" s="1">
        <v>184</v>
      </c>
      <c r="G64" s="1">
        <v>554</v>
      </c>
      <c r="H64" s="1">
        <v>4</v>
      </c>
      <c r="I64" s="1">
        <v>2</v>
      </c>
      <c r="J64" s="1" t="s">
        <v>104</v>
      </c>
      <c r="K64" s="1">
        <f t="shared" si="0"/>
        <v>0.991935483870968</v>
      </c>
      <c r="L64" s="1">
        <f t="shared" si="1"/>
        <v>0.978723404255319</v>
      </c>
      <c r="M64" s="1">
        <f t="shared" si="2"/>
        <v>0.989247311827957</v>
      </c>
      <c r="N64" s="1">
        <f t="shared" si="3"/>
        <v>0.996402877697842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>
      <c r="A65" s="1" t="s">
        <v>39</v>
      </c>
      <c r="B65" s="1" t="s">
        <v>32</v>
      </c>
      <c r="C65" s="1" t="s">
        <v>31</v>
      </c>
      <c r="D65" s="1">
        <v>744</v>
      </c>
      <c r="E65" s="1">
        <v>186</v>
      </c>
      <c r="F65" s="1">
        <v>53</v>
      </c>
      <c r="G65" s="1">
        <v>8612</v>
      </c>
      <c r="H65" s="1">
        <v>1298</v>
      </c>
      <c r="I65" s="1">
        <v>9</v>
      </c>
      <c r="J65" s="1" t="s">
        <v>105</v>
      </c>
      <c r="K65" s="1">
        <f t="shared" si="0"/>
        <v>0.868933012434817</v>
      </c>
      <c r="L65" s="1">
        <f t="shared" si="1"/>
        <v>0.0392301998519615</v>
      </c>
      <c r="M65" s="1">
        <f t="shared" si="2"/>
        <v>0.854838709677419</v>
      </c>
      <c r="N65" s="1">
        <f t="shared" si="3"/>
        <v>0.998956037582647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>
      <c r="A66" s="1" t="s">
        <v>29</v>
      </c>
      <c r="B66" s="1" t="s">
        <v>30</v>
      </c>
      <c r="C66" s="1" t="s">
        <v>40</v>
      </c>
      <c r="D66" s="1">
        <v>8037</v>
      </c>
      <c r="E66" s="1">
        <v>186</v>
      </c>
      <c r="F66" s="1">
        <v>16</v>
      </c>
      <c r="G66" s="1">
        <v>7755</v>
      </c>
      <c r="H66" s="1">
        <v>96</v>
      </c>
      <c r="I66" s="1">
        <v>170</v>
      </c>
      <c r="J66" s="1" t="s">
        <v>106</v>
      </c>
      <c r="K66" s="1">
        <f t="shared" ref="K66:K129" si="4">(F66+G66)/(I66+H66+G66+F66)</f>
        <v>0.966903073286052</v>
      </c>
      <c r="L66" s="1">
        <f t="shared" ref="L66:L129" si="5">IF(F66=0,0,F66/(H66+F66))</f>
        <v>0.142857142857143</v>
      </c>
      <c r="M66" s="1">
        <f t="shared" ref="M66:M129" si="6">IF(F66=0,0,F66/(F66+I66))</f>
        <v>0.0860215053763441</v>
      </c>
      <c r="N66" s="1">
        <f t="shared" ref="N66:N129" si="7">IF(G66=0,0,G66/(I66+G66))</f>
        <v>0.978548895899054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>
      <c r="A67" s="1" t="s">
        <v>29</v>
      </c>
      <c r="B67" s="1" t="s">
        <v>32</v>
      </c>
      <c r="C67" s="1" t="s">
        <v>40</v>
      </c>
      <c r="D67" s="1">
        <v>8037</v>
      </c>
      <c r="E67" s="1">
        <v>186</v>
      </c>
      <c r="F67" s="1">
        <v>1</v>
      </c>
      <c r="G67" s="1">
        <v>2589</v>
      </c>
      <c r="H67" s="1">
        <v>28</v>
      </c>
      <c r="I67" s="1">
        <v>61</v>
      </c>
      <c r="J67" s="1" t="s">
        <v>107</v>
      </c>
      <c r="K67" s="1">
        <f t="shared" si="4"/>
        <v>0.966778648749533</v>
      </c>
      <c r="L67" s="1">
        <f t="shared" si="5"/>
        <v>0.0344827586206897</v>
      </c>
      <c r="M67" s="1">
        <f t="shared" si="6"/>
        <v>0.0161290322580645</v>
      </c>
      <c r="N67" s="1">
        <f t="shared" si="7"/>
        <v>0.976981132075472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>
      <c r="A68" s="1" t="s">
        <v>33</v>
      </c>
      <c r="B68" s="1" t="s">
        <v>30</v>
      </c>
      <c r="C68" s="1" t="s">
        <v>40</v>
      </c>
      <c r="D68" s="1">
        <v>8037</v>
      </c>
      <c r="E68" s="1">
        <v>186</v>
      </c>
      <c r="F68" s="1">
        <v>1</v>
      </c>
      <c r="G68" s="1">
        <v>7851</v>
      </c>
      <c r="H68" s="1">
        <v>0</v>
      </c>
      <c r="I68" s="1">
        <v>185</v>
      </c>
      <c r="J68" s="1" t="s">
        <v>108</v>
      </c>
      <c r="K68" s="1">
        <f t="shared" si="4"/>
        <v>0.976981460744059</v>
      </c>
      <c r="L68" s="1">
        <f t="shared" si="5"/>
        <v>1</v>
      </c>
      <c r="M68" s="1">
        <f t="shared" si="6"/>
        <v>0.00537634408602151</v>
      </c>
      <c r="N68" s="1">
        <f t="shared" si="7"/>
        <v>0.976978596316575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>
      <c r="A69" s="1" t="s">
        <v>33</v>
      </c>
      <c r="B69" s="1" t="s">
        <v>32</v>
      </c>
      <c r="C69" s="1" t="s">
        <v>40</v>
      </c>
      <c r="D69" s="1">
        <v>8037</v>
      </c>
      <c r="E69" s="1">
        <v>186</v>
      </c>
      <c r="F69" s="1">
        <v>0</v>
      </c>
      <c r="G69" s="1">
        <v>2616</v>
      </c>
      <c r="H69" s="1">
        <v>1</v>
      </c>
      <c r="I69" s="1">
        <v>62</v>
      </c>
      <c r="J69" s="1" t="s">
        <v>109</v>
      </c>
      <c r="K69" s="1">
        <f t="shared" si="4"/>
        <v>0.976483762597984</v>
      </c>
      <c r="L69" s="1">
        <f t="shared" si="5"/>
        <v>0</v>
      </c>
      <c r="M69" s="1">
        <f t="shared" si="6"/>
        <v>0</v>
      </c>
      <c r="N69" s="1">
        <f t="shared" si="7"/>
        <v>0.976848394324123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1" t="s">
        <v>34</v>
      </c>
      <c r="B70" s="1" t="s">
        <v>30</v>
      </c>
      <c r="C70" s="1" t="s">
        <v>40</v>
      </c>
      <c r="D70" s="1">
        <v>8037</v>
      </c>
      <c r="E70" s="1">
        <v>186</v>
      </c>
      <c r="F70" s="1">
        <v>186</v>
      </c>
      <c r="G70" s="1">
        <v>7851</v>
      </c>
      <c r="H70" s="1">
        <v>0</v>
      </c>
      <c r="I70" s="1">
        <v>0</v>
      </c>
      <c r="J70" s="1" t="s">
        <v>54</v>
      </c>
      <c r="K70" s="1">
        <f t="shared" si="4"/>
        <v>1</v>
      </c>
      <c r="L70" s="1">
        <f t="shared" si="5"/>
        <v>1</v>
      </c>
      <c r="M70" s="1">
        <f t="shared" si="6"/>
        <v>1</v>
      </c>
      <c r="N70" s="1">
        <f t="shared" si="7"/>
        <v>1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 t="s">
        <v>34</v>
      </c>
      <c r="B71" s="1" t="s">
        <v>32</v>
      </c>
      <c r="C71" s="1" t="s">
        <v>40</v>
      </c>
      <c r="D71" s="1">
        <v>8037</v>
      </c>
      <c r="E71" s="1">
        <v>186</v>
      </c>
      <c r="F71" s="1">
        <v>7</v>
      </c>
      <c r="G71" s="1">
        <v>2558</v>
      </c>
      <c r="H71" s="1">
        <v>59</v>
      </c>
      <c r="I71" s="1">
        <v>55</v>
      </c>
      <c r="J71" s="1" t="s">
        <v>110</v>
      </c>
      <c r="K71" s="1">
        <f t="shared" si="4"/>
        <v>0.957446808510638</v>
      </c>
      <c r="L71" s="1">
        <f t="shared" si="5"/>
        <v>0.106060606060606</v>
      </c>
      <c r="M71" s="1">
        <f t="shared" si="6"/>
        <v>0.112903225806452</v>
      </c>
      <c r="N71" s="1">
        <f t="shared" si="7"/>
        <v>0.978951396861845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>
      <c r="A72" s="1" t="s">
        <v>35</v>
      </c>
      <c r="B72" s="1" t="s">
        <v>30</v>
      </c>
      <c r="C72" s="1" t="s">
        <v>40</v>
      </c>
      <c r="D72" s="1">
        <v>8037</v>
      </c>
      <c r="E72" s="1">
        <v>186</v>
      </c>
      <c r="F72" s="1">
        <v>186</v>
      </c>
      <c r="G72" s="1">
        <v>7851</v>
      </c>
      <c r="H72" s="1">
        <v>0</v>
      </c>
      <c r="I72" s="1">
        <v>0</v>
      </c>
      <c r="J72" s="1" t="s">
        <v>54</v>
      </c>
      <c r="K72" s="1">
        <f t="shared" si="4"/>
        <v>1</v>
      </c>
      <c r="L72" s="1">
        <f t="shared" si="5"/>
        <v>1</v>
      </c>
      <c r="M72" s="1">
        <f t="shared" si="6"/>
        <v>1</v>
      </c>
      <c r="N72" s="1">
        <f t="shared" si="7"/>
        <v>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>
      <c r="A73" s="1" t="s">
        <v>35</v>
      </c>
      <c r="B73" s="1" t="s">
        <v>32</v>
      </c>
      <c r="C73" s="1" t="s">
        <v>40</v>
      </c>
      <c r="D73" s="1">
        <v>8037</v>
      </c>
      <c r="E73" s="1">
        <v>186</v>
      </c>
      <c r="F73" s="1">
        <v>1</v>
      </c>
      <c r="G73" s="1">
        <v>2616</v>
      </c>
      <c r="H73" s="1">
        <v>1</v>
      </c>
      <c r="I73" s="1">
        <v>61</v>
      </c>
      <c r="J73" s="1" t="s">
        <v>111</v>
      </c>
      <c r="K73" s="1">
        <f t="shared" si="4"/>
        <v>0.97685703620754</v>
      </c>
      <c r="L73" s="1">
        <f t="shared" si="5"/>
        <v>0.5</v>
      </c>
      <c r="M73" s="1">
        <f t="shared" si="6"/>
        <v>0.0161290322580645</v>
      </c>
      <c r="N73" s="1">
        <f t="shared" si="7"/>
        <v>0.977213298468435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>
      <c r="A74" s="1" t="s">
        <v>36</v>
      </c>
      <c r="B74" s="1" t="s">
        <v>30</v>
      </c>
      <c r="C74" s="1" t="s">
        <v>40</v>
      </c>
      <c r="D74" s="1">
        <v>8037</v>
      </c>
      <c r="E74" s="1">
        <v>186</v>
      </c>
      <c r="F74" s="1">
        <v>12</v>
      </c>
      <c r="G74" s="1">
        <v>7847</v>
      </c>
      <c r="H74" s="1">
        <v>4</v>
      </c>
      <c r="I74" s="1">
        <v>174</v>
      </c>
      <c r="J74" s="1" t="s">
        <v>112</v>
      </c>
      <c r="K74" s="1">
        <f t="shared" si="4"/>
        <v>0.977852432499689</v>
      </c>
      <c r="L74" s="1">
        <f t="shared" si="5"/>
        <v>0.75</v>
      </c>
      <c r="M74" s="1">
        <f t="shared" si="6"/>
        <v>0.0645161290322581</v>
      </c>
      <c r="N74" s="1">
        <f t="shared" si="7"/>
        <v>0.978306944271288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>
      <c r="A75" s="1" t="s">
        <v>36</v>
      </c>
      <c r="B75" s="1" t="s">
        <v>32</v>
      </c>
      <c r="C75" s="1" t="s">
        <v>40</v>
      </c>
      <c r="D75" s="1">
        <v>8037</v>
      </c>
      <c r="E75" s="1">
        <v>186</v>
      </c>
      <c r="F75" s="1">
        <v>2</v>
      </c>
      <c r="G75" s="1">
        <v>2613</v>
      </c>
      <c r="H75" s="1">
        <v>4</v>
      </c>
      <c r="I75" s="1">
        <v>60</v>
      </c>
      <c r="J75" s="1" t="s">
        <v>113</v>
      </c>
      <c r="K75" s="1">
        <f t="shared" si="4"/>
        <v>0.976110488988429</v>
      </c>
      <c r="L75" s="1">
        <f t="shared" si="5"/>
        <v>0.333333333333333</v>
      </c>
      <c r="M75" s="1">
        <f t="shared" si="6"/>
        <v>0.032258064516129</v>
      </c>
      <c r="N75" s="1">
        <f t="shared" si="7"/>
        <v>0.977553310886644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>
      <c r="A76" s="1" t="s">
        <v>37</v>
      </c>
      <c r="B76" s="1" t="s">
        <v>30</v>
      </c>
      <c r="C76" s="1" t="s">
        <v>40</v>
      </c>
      <c r="D76" s="1">
        <v>8037</v>
      </c>
      <c r="E76" s="1">
        <v>186</v>
      </c>
      <c r="F76" s="1">
        <v>43</v>
      </c>
      <c r="G76" s="1">
        <v>7418</v>
      </c>
      <c r="H76" s="1">
        <v>433</v>
      </c>
      <c r="I76" s="1">
        <v>143</v>
      </c>
      <c r="J76" s="1" t="s">
        <v>114</v>
      </c>
      <c r="K76" s="1">
        <f t="shared" si="4"/>
        <v>0.928331466965286</v>
      </c>
      <c r="L76" s="1">
        <f t="shared" si="5"/>
        <v>0.0903361344537815</v>
      </c>
      <c r="M76" s="1">
        <f t="shared" si="6"/>
        <v>0.231182795698925</v>
      </c>
      <c r="N76" s="1">
        <f t="shared" si="7"/>
        <v>0.981087157783362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>
      <c r="A77" s="1" t="s">
        <v>37</v>
      </c>
      <c r="B77" s="1" t="s">
        <v>32</v>
      </c>
      <c r="C77" s="1" t="s">
        <v>40</v>
      </c>
      <c r="D77" s="1">
        <v>8037</v>
      </c>
      <c r="E77" s="1">
        <v>186</v>
      </c>
      <c r="F77" s="1">
        <v>12</v>
      </c>
      <c r="G77" s="1">
        <v>2495</v>
      </c>
      <c r="H77" s="1">
        <v>122</v>
      </c>
      <c r="I77" s="1">
        <v>50</v>
      </c>
      <c r="J77" s="1" t="s">
        <v>115</v>
      </c>
      <c r="K77" s="1">
        <f t="shared" si="4"/>
        <v>0.935796939156402</v>
      </c>
      <c r="L77" s="1">
        <f t="shared" si="5"/>
        <v>0.0895522388059701</v>
      </c>
      <c r="M77" s="1">
        <f t="shared" si="6"/>
        <v>0.193548387096774</v>
      </c>
      <c r="N77" s="1">
        <f t="shared" si="7"/>
        <v>0.980353634577603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>
      <c r="A78" s="1" t="s">
        <v>38</v>
      </c>
      <c r="B78" s="1" t="s">
        <v>30</v>
      </c>
      <c r="C78" s="1" t="s">
        <v>40</v>
      </c>
      <c r="D78" s="1">
        <v>8037</v>
      </c>
      <c r="E78" s="1">
        <v>186</v>
      </c>
      <c r="F78" s="1">
        <v>0</v>
      </c>
      <c r="G78" s="1">
        <v>7851</v>
      </c>
      <c r="H78" s="1">
        <v>0</v>
      </c>
      <c r="I78" s="1">
        <v>186</v>
      </c>
      <c r="J78" s="1" t="s">
        <v>116</v>
      </c>
      <c r="K78" s="1">
        <f t="shared" si="4"/>
        <v>0.97685703620754</v>
      </c>
      <c r="L78" s="1">
        <f t="shared" si="5"/>
        <v>0</v>
      </c>
      <c r="M78" s="1">
        <f t="shared" si="6"/>
        <v>0</v>
      </c>
      <c r="N78" s="1">
        <f t="shared" si="7"/>
        <v>0.97685703620754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>
      <c r="A79" s="1" t="s">
        <v>38</v>
      </c>
      <c r="B79" s="1" t="s">
        <v>32</v>
      </c>
      <c r="C79" s="1" t="s">
        <v>40</v>
      </c>
      <c r="D79" s="1">
        <v>8037</v>
      </c>
      <c r="E79" s="1">
        <v>186</v>
      </c>
      <c r="F79" s="1">
        <v>0</v>
      </c>
      <c r="G79" s="1">
        <v>2617</v>
      </c>
      <c r="H79" s="1">
        <v>0</v>
      </c>
      <c r="I79" s="1">
        <v>62</v>
      </c>
      <c r="J79" s="1" t="s">
        <v>116</v>
      </c>
      <c r="K79" s="1">
        <f t="shared" si="4"/>
        <v>0.97685703620754</v>
      </c>
      <c r="L79" s="1">
        <f t="shared" si="5"/>
        <v>0</v>
      </c>
      <c r="M79" s="1">
        <f t="shared" si="6"/>
        <v>0</v>
      </c>
      <c r="N79" s="1">
        <f t="shared" si="7"/>
        <v>0.97685703620754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>
      <c r="A80" s="1" t="s">
        <v>39</v>
      </c>
      <c r="B80" s="1" t="s">
        <v>30</v>
      </c>
      <c r="C80" s="1" t="s">
        <v>40</v>
      </c>
      <c r="D80" s="1">
        <v>8037</v>
      </c>
      <c r="E80" s="1">
        <v>186</v>
      </c>
      <c r="F80" s="1">
        <v>121</v>
      </c>
      <c r="G80" s="1">
        <v>7818</v>
      </c>
      <c r="H80" s="1">
        <v>33</v>
      </c>
      <c r="I80" s="1">
        <v>65</v>
      </c>
      <c r="J80" s="1" t="s">
        <v>117</v>
      </c>
      <c r="K80" s="1">
        <f t="shared" si="4"/>
        <v>0.987806395421177</v>
      </c>
      <c r="L80" s="1">
        <f t="shared" si="5"/>
        <v>0.785714285714286</v>
      </c>
      <c r="M80" s="1">
        <f t="shared" si="6"/>
        <v>0.650537634408602</v>
      </c>
      <c r="N80" s="1">
        <f t="shared" si="7"/>
        <v>0.991754408220221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>
      <c r="A81" s="1" t="s">
        <v>39</v>
      </c>
      <c r="B81" s="1" t="s">
        <v>32</v>
      </c>
      <c r="C81" s="1" t="s">
        <v>40</v>
      </c>
      <c r="D81" s="1">
        <v>8037</v>
      </c>
      <c r="E81" s="1">
        <v>186</v>
      </c>
      <c r="F81" s="1">
        <v>14</v>
      </c>
      <c r="G81" s="1">
        <v>2588</v>
      </c>
      <c r="H81" s="1">
        <v>29</v>
      </c>
      <c r="I81" s="1">
        <v>48</v>
      </c>
      <c r="J81" s="1" t="s">
        <v>118</v>
      </c>
      <c r="K81" s="1">
        <f t="shared" si="4"/>
        <v>0.971257932064203</v>
      </c>
      <c r="L81" s="1">
        <f t="shared" si="5"/>
        <v>0.325581395348837</v>
      </c>
      <c r="M81" s="1">
        <f t="shared" si="6"/>
        <v>0.225806451612903</v>
      </c>
      <c r="N81" s="1">
        <f t="shared" si="7"/>
        <v>0.981790591805766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>
      <c r="A82" s="1" t="s">
        <v>29</v>
      </c>
      <c r="B82" s="1" t="s">
        <v>30</v>
      </c>
      <c r="C82" s="1" t="s">
        <v>40</v>
      </c>
      <c r="D82" s="1">
        <v>8037</v>
      </c>
      <c r="E82" s="1">
        <v>186</v>
      </c>
      <c r="F82" s="1">
        <v>5</v>
      </c>
      <c r="G82" s="1">
        <v>7790</v>
      </c>
      <c r="H82" s="1">
        <v>61</v>
      </c>
      <c r="I82" s="1">
        <v>181</v>
      </c>
      <c r="J82" s="1" t="s">
        <v>119</v>
      </c>
      <c r="K82" s="1">
        <f t="shared" si="4"/>
        <v>0.969889262162498</v>
      </c>
      <c r="L82" s="1">
        <f t="shared" si="5"/>
        <v>0.0757575757575758</v>
      </c>
      <c r="M82" s="1">
        <f t="shared" si="6"/>
        <v>0.0268817204301075</v>
      </c>
      <c r="N82" s="1">
        <f t="shared" si="7"/>
        <v>0.977292685986702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>
      <c r="A83" s="1" t="s">
        <v>29</v>
      </c>
      <c r="B83" s="1" t="s">
        <v>32</v>
      </c>
      <c r="C83" s="1" t="s">
        <v>40</v>
      </c>
      <c r="D83" s="1">
        <v>8037</v>
      </c>
      <c r="E83" s="1">
        <v>186</v>
      </c>
      <c r="F83" s="1">
        <v>3</v>
      </c>
      <c r="G83" s="1">
        <v>2591</v>
      </c>
      <c r="H83" s="1">
        <v>26</v>
      </c>
      <c r="I83" s="1">
        <v>59</v>
      </c>
      <c r="J83" s="1" t="s">
        <v>120</v>
      </c>
      <c r="K83" s="1">
        <f t="shared" si="4"/>
        <v>0.968271743187757</v>
      </c>
      <c r="L83" s="1">
        <f t="shared" si="5"/>
        <v>0.103448275862069</v>
      </c>
      <c r="M83" s="1">
        <f t="shared" si="6"/>
        <v>0.0483870967741935</v>
      </c>
      <c r="N83" s="1">
        <f t="shared" si="7"/>
        <v>0.977735849056604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>
      <c r="A84" s="1" t="s">
        <v>33</v>
      </c>
      <c r="B84" s="1" t="s">
        <v>30</v>
      </c>
      <c r="C84" s="1" t="s">
        <v>40</v>
      </c>
      <c r="D84" s="1">
        <v>8037</v>
      </c>
      <c r="E84" s="1">
        <v>186</v>
      </c>
      <c r="F84" s="1">
        <v>0</v>
      </c>
      <c r="G84" s="1">
        <v>7851</v>
      </c>
      <c r="H84" s="1">
        <v>0</v>
      </c>
      <c r="I84" s="1">
        <v>186</v>
      </c>
      <c r="J84" s="1" t="s">
        <v>116</v>
      </c>
      <c r="K84" s="1">
        <f t="shared" si="4"/>
        <v>0.97685703620754</v>
      </c>
      <c r="L84" s="1">
        <f t="shared" si="5"/>
        <v>0</v>
      </c>
      <c r="M84" s="1">
        <f t="shared" si="6"/>
        <v>0</v>
      </c>
      <c r="N84" s="1">
        <f t="shared" si="7"/>
        <v>0.97685703620754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>
      <c r="A85" s="1" t="s">
        <v>33</v>
      </c>
      <c r="B85" s="1" t="s">
        <v>32</v>
      </c>
      <c r="C85" s="1" t="s">
        <v>40</v>
      </c>
      <c r="D85" s="1">
        <v>8037</v>
      </c>
      <c r="E85" s="1">
        <v>186</v>
      </c>
      <c r="F85" s="1">
        <v>0</v>
      </c>
      <c r="G85" s="1">
        <v>2617</v>
      </c>
      <c r="H85" s="1">
        <v>0</v>
      </c>
      <c r="I85" s="1">
        <v>62</v>
      </c>
      <c r="J85" s="1" t="s">
        <v>116</v>
      </c>
      <c r="K85" s="1">
        <f t="shared" si="4"/>
        <v>0.97685703620754</v>
      </c>
      <c r="L85" s="1">
        <f t="shared" si="5"/>
        <v>0</v>
      </c>
      <c r="M85" s="1">
        <f t="shared" si="6"/>
        <v>0</v>
      </c>
      <c r="N85" s="1">
        <f t="shared" si="7"/>
        <v>0.97685703620754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>
      <c r="A86" s="1" t="s">
        <v>34</v>
      </c>
      <c r="B86" s="1" t="s">
        <v>30</v>
      </c>
      <c r="C86" s="1" t="s">
        <v>40</v>
      </c>
      <c r="D86" s="1">
        <v>8037</v>
      </c>
      <c r="E86" s="1">
        <v>186</v>
      </c>
      <c r="F86" s="1">
        <v>186</v>
      </c>
      <c r="G86" s="1">
        <v>7851</v>
      </c>
      <c r="H86" s="1">
        <v>0</v>
      </c>
      <c r="I86" s="1">
        <v>0</v>
      </c>
      <c r="J86" s="1" t="s">
        <v>54</v>
      </c>
      <c r="K86" s="1">
        <f t="shared" si="4"/>
        <v>1</v>
      </c>
      <c r="L86" s="1">
        <f t="shared" si="5"/>
        <v>1</v>
      </c>
      <c r="M86" s="1">
        <f t="shared" si="6"/>
        <v>1</v>
      </c>
      <c r="N86" s="1">
        <f t="shared" si="7"/>
        <v>1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>
      <c r="A87" s="1" t="s">
        <v>34</v>
      </c>
      <c r="B87" s="1" t="s">
        <v>32</v>
      </c>
      <c r="C87" s="1" t="s">
        <v>40</v>
      </c>
      <c r="D87" s="1">
        <v>8037</v>
      </c>
      <c r="E87" s="1">
        <v>186</v>
      </c>
      <c r="F87" s="1">
        <v>12</v>
      </c>
      <c r="G87" s="1">
        <v>2561</v>
      </c>
      <c r="H87" s="1">
        <v>56</v>
      </c>
      <c r="I87" s="1">
        <v>50</v>
      </c>
      <c r="J87" s="1" t="s">
        <v>121</v>
      </c>
      <c r="K87" s="1">
        <f t="shared" si="4"/>
        <v>0.960432997387085</v>
      </c>
      <c r="L87" s="1">
        <f t="shared" si="5"/>
        <v>0.176470588235294</v>
      </c>
      <c r="M87" s="1">
        <f t="shared" si="6"/>
        <v>0.193548387096774</v>
      </c>
      <c r="N87" s="1">
        <f t="shared" si="7"/>
        <v>0.980850248946764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>
      <c r="A88" s="1" t="s">
        <v>35</v>
      </c>
      <c r="B88" s="1" t="s">
        <v>30</v>
      </c>
      <c r="C88" s="1" t="s">
        <v>40</v>
      </c>
      <c r="D88" s="1">
        <v>8037</v>
      </c>
      <c r="E88" s="1">
        <v>186</v>
      </c>
      <c r="F88" s="1">
        <v>186</v>
      </c>
      <c r="G88" s="1">
        <v>7851</v>
      </c>
      <c r="H88" s="1">
        <v>0</v>
      </c>
      <c r="I88" s="1">
        <v>0</v>
      </c>
      <c r="J88" s="1" t="s">
        <v>54</v>
      </c>
      <c r="K88" s="1">
        <f t="shared" si="4"/>
        <v>1</v>
      </c>
      <c r="L88" s="1">
        <f t="shared" si="5"/>
        <v>1</v>
      </c>
      <c r="M88" s="1">
        <f t="shared" si="6"/>
        <v>1</v>
      </c>
      <c r="N88" s="1">
        <f t="shared" si="7"/>
        <v>1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>
      <c r="A89" s="1" t="s">
        <v>35</v>
      </c>
      <c r="B89" s="1" t="s">
        <v>32</v>
      </c>
      <c r="C89" s="1" t="s">
        <v>40</v>
      </c>
      <c r="D89" s="1">
        <v>8037</v>
      </c>
      <c r="E89" s="1">
        <v>186</v>
      </c>
      <c r="F89" s="1">
        <v>0</v>
      </c>
      <c r="G89" s="1">
        <v>2617</v>
      </c>
      <c r="H89" s="1">
        <v>0</v>
      </c>
      <c r="I89" s="1">
        <v>62</v>
      </c>
      <c r="J89" s="1" t="s">
        <v>116</v>
      </c>
      <c r="K89" s="1">
        <f t="shared" si="4"/>
        <v>0.97685703620754</v>
      </c>
      <c r="L89" s="1">
        <f t="shared" si="5"/>
        <v>0</v>
      </c>
      <c r="M89" s="1">
        <f t="shared" si="6"/>
        <v>0</v>
      </c>
      <c r="N89" s="1">
        <f t="shared" si="7"/>
        <v>0.97685703620754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>
      <c r="A90" s="1" t="s">
        <v>36</v>
      </c>
      <c r="B90" s="1" t="s">
        <v>30</v>
      </c>
      <c r="C90" s="1" t="s">
        <v>40</v>
      </c>
      <c r="D90" s="1">
        <v>8037</v>
      </c>
      <c r="E90" s="1">
        <v>186</v>
      </c>
      <c r="F90" s="1">
        <v>22</v>
      </c>
      <c r="G90" s="1">
        <v>7847</v>
      </c>
      <c r="H90" s="1">
        <v>4</v>
      </c>
      <c r="I90" s="1">
        <v>164</v>
      </c>
      <c r="J90" s="1" t="s">
        <v>122</v>
      </c>
      <c r="K90" s="1">
        <f t="shared" si="4"/>
        <v>0.979096677864875</v>
      </c>
      <c r="L90" s="1">
        <f t="shared" si="5"/>
        <v>0.846153846153846</v>
      </c>
      <c r="M90" s="1">
        <f t="shared" si="6"/>
        <v>0.118279569892473</v>
      </c>
      <c r="N90" s="1">
        <f t="shared" si="7"/>
        <v>0.979528148795406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>
      <c r="A91" s="1" t="s">
        <v>36</v>
      </c>
      <c r="B91" s="1" t="s">
        <v>32</v>
      </c>
      <c r="C91" s="1" t="s">
        <v>40</v>
      </c>
      <c r="D91" s="1">
        <v>8037</v>
      </c>
      <c r="E91" s="1">
        <v>186</v>
      </c>
      <c r="F91" s="1">
        <v>3</v>
      </c>
      <c r="G91" s="1">
        <v>2613</v>
      </c>
      <c r="H91" s="1">
        <v>4</v>
      </c>
      <c r="I91" s="1">
        <v>59</v>
      </c>
      <c r="J91" s="1" t="s">
        <v>123</v>
      </c>
      <c r="K91" s="1">
        <f t="shared" si="4"/>
        <v>0.976483762597984</v>
      </c>
      <c r="L91" s="1">
        <f t="shared" si="5"/>
        <v>0.428571428571429</v>
      </c>
      <c r="M91" s="1">
        <f t="shared" si="6"/>
        <v>0.0483870967741935</v>
      </c>
      <c r="N91" s="1">
        <f t="shared" si="7"/>
        <v>0.977919161676647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>
      <c r="A92" s="1" t="s">
        <v>37</v>
      </c>
      <c r="B92" s="1" t="s">
        <v>30</v>
      </c>
      <c r="C92" s="1" t="s">
        <v>40</v>
      </c>
      <c r="D92" s="1">
        <v>8037</v>
      </c>
      <c r="E92" s="1">
        <v>186</v>
      </c>
      <c r="F92" s="1">
        <v>46</v>
      </c>
      <c r="G92" s="1">
        <v>7409</v>
      </c>
      <c r="H92" s="1">
        <v>442</v>
      </c>
      <c r="I92" s="1">
        <v>140</v>
      </c>
      <c r="J92" s="1" t="s">
        <v>124</v>
      </c>
      <c r="K92" s="1">
        <f t="shared" si="4"/>
        <v>0.927584919746174</v>
      </c>
      <c r="L92" s="1">
        <f t="shared" si="5"/>
        <v>0.0942622950819672</v>
      </c>
      <c r="M92" s="1">
        <f t="shared" si="6"/>
        <v>0.247311827956989</v>
      </c>
      <c r="N92" s="1">
        <f t="shared" si="7"/>
        <v>0.981454497284408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>
      <c r="A93" s="1" t="s">
        <v>37</v>
      </c>
      <c r="B93" s="1" t="s">
        <v>32</v>
      </c>
      <c r="C93" s="1" t="s">
        <v>40</v>
      </c>
      <c r="D93" s="1">
        <v>8037</v>
      </c>
      <c r="E93" s="1">
        <v>186</v>
      </c>
      <c r="F93" s="1">
        <v>16</v>
      </c>
      <c r="G93" s="1">
        <v>2478</v>
      </c>
      <c r="H93" s="1">
        <v>139</v>
      </c>
      <c r="I93" s="1">
        <v>46</v>
      </c>
      <c r="J93" s="1" t="s">
        <v>125</v>
      </c>
      <c r="K93" s="1">
        <f t="shared" si="4"/>
        <v>0.930944382232176</v>
      </c>
      <c r="L93" s="1">
        <f t="shared" si="5"/>
        <v>0.103225806451613</v>
      </c>
      <c r="M93" s="1">
        <f t="shared" si="6"/>
        <v>0.258064516129032</v>
      </c>
      <c r="N93" s="1">
        <f t="shared" si="7"/>
        <v>0.981774960380349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>
      <c r="A94" s="1" t="s">
        <v>38</v>
      </c>
      <c r="B94" s="1" t="s">
        <v>30</v>
      </c>
      <c r="C94" s="1" t="s">
        <v>40</v>
      </c>
      <c r="D94" s="1">
        <v>8037</v>
      </c>
      <c r="E94" s="1">
        <v>186</v>
      </c>
      <c r="F94" s="1">
        <v>0</v>
      </c>
      <c r="G94" s="1">
        <v>7851</v>
      </c>
      <c r="H94" s="1">
        <v>0</v>
      </c>
      <c r="I94" s="1">
        <v>186</v>
      </c>
      <c r="J94" s="1" t="s">
        <v>116</v>
      </c>
      <c r="K94" s="1">
        <f t="shared" si="4"/>
        <v>0.97685703620754</v>
      </c>
      <c r="L94" s="1">
        <f t="shared" si="5"/>
        <v>0</v>
      </c>
      <c r="M94" s="1">
        <f t="shared" si="6"/>
        <v>0</v>
      </c>
      <c r="N94" s="1">
        <f t="shared" si="7"/>
        <v>0.97685703620754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>
      <c r="A95" s="1" t="s">
        <v>38</v>
      </c>
      <c r="B95" s="1" t="s">
        <v>32</v>
      </c>
      <c r="C95" s="1" t="s">
        <v>40</v>
      </c>
      <c r="D95" s="1">
        <v>8037</v>
      </c>
      <c r="E95" s="1">
        <v>186</v>
      </c>
      <c r="F95" s="1">
        <v>0</v>
      </c>
      <c r="G95" s="1">
        <v>2617</v>
      </c>
      <c r="H95" s="1">
        <v>0</v>
      </c>
      <c r="I95" s="1">
        <v>62</v>
      </c>
      <c r="J95" s="1" t="s">
        <v>116</v>
      </c>
      <c r="K95" s="1">
        <f t="shared" si="4"/>
        <v>0.97685703620754</v>
      </c>
      <c r="L95" s="1">
        <f t="shared" si="5"/>
        <v>0</v>
      </c>
      <c r="M95" s="1">
        <f t="shared" si="6"/>
        <v>0</v>
      </c>
      <c r="N95" s="1">
        <f t="shared" si="7"/>
        <v>0.97685703620754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>
      <c r="A96" s="1" t="s">
        <v>39</v>
      </c>
      <c r="B96" s="1" t="s">
        <v>30</v>
      </c>
      <c r="C96" s="1" t="s">
        <v>40</v>
      </c>
      <c r="D96" s="1">
        <v>8037</v>
      </c>
      <c r="E96" s="1">
        <v>186</v>
      </c>
      <c r="F96" s="1">
        <v>162</v>
      </c>
      <c r="G96" s="1">
        <v>7815</v>
      </c>
      <c r="H96" s="1">
        <v>36</v>
      </c>
      <c r="I96" s="1">
        <v>24</v>
      </c>
      <c r="J96" s="1" t="s">
        <v>126</v>
      </c>
      <c r="K96" s="1">
        <f t="shared" si="4"/>
        <v>0.992534527808884</v>
      </c>
      <c r="L96" s="1">
        <f t="shared" si="5"/>
        <v>0.818181818181818</v>
      </c>
      <c r="M96" s="1">
        <f t="shared" si="6"/>
        <v>0.870967741935484</v>
      </c>
      <c r="N96" s="1">
        <f t="shared" si="7"/>
        <v>0.996938384998087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>
      <c r="A97" s="1" t="s">
        <v>39</v>
      </c>
      <c r="B97" s="1" t="s">
        <v>32</v>
      </c>
      <c r="C97" s="1" t="s">
        <v>40</v>
      </c>
      <c r="D97" s="1">
        <v>8037</v>
      </c>
      <c r="E97" s="1">
        <v>186</v>
      </c>
      <c r="F97" s="1">
        <v>18</v>
      </c>
      <c r="G97" s="1">
        <v>2573</v>
      </c>
      <c r="H97" s="1">
        <v>44</v>
      </c>
      <c r="I97" s="1">
        <v>44</v>
      </c>
      <c r="J97" s="1" t="s">
        <v>127</v>
      </c>
      <c r="K97" s="1">
        <f t="shared" si="4"/>
        <v>0.967151922359089</v>
      </c>
      <c r="L97" s="1">
        <f t="shared" si="5"/>
        <v>0.290322580645161</v>
      </c>
      <c r="M97" s="1">
        <f t="shared" si="6"/>
        <v>0.290322580645161</v>
      </c>
      <c r="N97" s="1">
        <f t="shared" si="7"/>
        <v>0.983186855177684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>
      <c r="A98" s="1" t="s">
        <v>29</v>
      </c>
      <c r="B98" s="1" t="s">
        <v>30</v>
      </c>
      <c r="C98" s="1" t="s">
        <v>40</v>
      </c>
      <c r="D98" s="1">
        <v>8037</v>
      </c>
      <c r="E98" s="1">
        <v>186</v>
      </c>
      <c r="F98" s="1">
        <v>15</v>
      </c>
      <c r="G98" s="1">
        <v>7764</v>
      </c>
      <c r="H98" s="1">
        <v>87</v>
      </c>
      <c r="I98" s="1">
        <v>171</v>
      </c>
      <c r="J98" s="1" t="s">
        <v>128</v>
      </c>
      <c r="K98" s="1">
        <f t="shared" si="4"/>
        <v>0.967898469578201</v>
      </c>
      <c r="L98" s="1">
        <f t="shared" si="5"/>
        <v>0.147058823529412</v>
      </c>
      <c r="M98" s="1">
        <f t="shared" si="6"/>
        <v>0.0806451612903226</v>
      </c>
      <c r="N98" s="1">
        <f t="shared" si="7"/>
        <v>0.978449905482042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>
      <c r="A99" s="1" t="s">
        <v>29</v>
      </c>
      <c r="B99" s="1" t="s">
        <v>32</v>
      </c>
      <c r="C99" s="1" t="s">
        <v>40</v>
      </c>
      <c r="D99" s="1">
        <v>8037</v>
      </c>
      <c r="E99" s="1">
        <v>186</v>
      </c>
      <c r="F99" s="1">
        <v>3</v>
      </c>
      <c r="G99" s="1">
        <v>2578</v>
      </c>
      <c r="H99" s="1">
        <v>39</v>
      </c>
      <c r="I99" s="1">
        <v>59</v>
      </c>
      <c r="J99" s="1" t="s">
        <v>129</v>
      </c>
      <c r="K99" s="1">
        <f t="shared" si="4"/>
        <v>0.963419186263531</v>
      </c>
      <c r="L99" s="1">
        <f t="shared" si="5"/>
        <v>0.0714285714285714</v>
      </c>
      <c r="M99" s="1">
        <f t="shared" si="6"/>
        <v>0.0483870967741935</v>
      </c>
      <c r="N99" s="1">
        <f t="shared" si="7"/>
        <v>0.977626090254077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>
      <c r="A100" s="1" t="s">
        <v>33</v>
      </c>
      <c r="B100" s="1" t="s">
        <v>30</v>
      </c>
      <c r="C100" s="1" t="s">
        <v>40</v>
      </c>
      <c r="D100" s="1">
        <v>8037</v>
      </c>
      <c r="E100" s="1">
        <v>186</v>
      </c>
      <c r="F100" s="1">
        <v>1</v>
      </c>
      <c r="G100" s="1">
        <v>7847</v>
      </c>
      <c r="H100" s="1">
        <v>4</v>
      </c>
      <c r="I100" s="1">
        <v>185</v>
      </c>
      <c r="J100" s="1" t="s">
        <v>130</v>
      </c>
      <c r="K100" s="1">
        <f t="shared" si="4"/>
        <v>0.976483762597984</v>
      </c>
      <c r="L100" s="1">
        <f t="shared" si="5"/>
        <v>0.2</v>
      </c>
      <c r="M100" s="1">
        <f t="shared" si="6"/>
        <v>0.00537634408602151</v>
      </c>
      <c r="N100" s="1">
        <f t="shared" si="7"/>
        <v>0.976967131474104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>
      <c r="A101" s="1" t="s">
        <v>33</v>
      </c>
      <c r="B101" s="1" t="s">
        <v>32</v>
      </c>
      <c r="C101" s="1" t="s">
        <v>40</v>
      </c>
      <c r="D101" s="1">
        <v>8037</v>
      </c>
      <c r="E101" s="1">
        <v>186</v>
      </c>
      <c r="F101" s="1">
        <v>0</v>
      </c>
      <c r="G101" s="1">
        <v>2615</v>
      </c>
      <c r="H101" s="1">
        <v>2</v>
      </c>
      <c r="I101" s="1">
        <v>62</v>
      </c>
      <c r="J101" s="1" t="s">
        <v>131</v>
      </c>
      <c r="K101" s="1">
        <f t="shared" si="4"/>
        <v>0.976110488988429</v>
      </c>
      <c r="L101" s="1">
        <f t="shared" si="5"/>
        <v>0</v>
      </c>
      <c r="M101" s="1">
        <f t="shared" si="6"/>
        <v>0</v>
      </c>
      <c r="N101" s="1">
        <f t="shared" si="7"/>
        <v>0.976839745984311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>
      <c r="A102" s="1" t="s">
        <v>34</v>
      </c>
      <c r="B102" s="1" t="s">
        <v>30</v>
      </c>
      <c r="C102" s="1" t="s">
        <v>40</v>
      </c>
      <c r="D102" s="1">
        <v>8037</v>
      </c>
      <c r="E102" s="1">
        <v>186</v>
      </c>
      <c r="F102" s="1">
        <v>186</v>
      </c>
      <c r="G102" s="1">
        <v>7851</v>
      </c>
      <c r="H102" s="1">
        <v>0</v>
      </c>
      <c r="I102" s="1">
        <v>0</v>
      </c>
      <c r="J102" s="1" t="s">
        <v>54</v>
      </c>
      <c r="K102" s="1">
        <f t="shared" si="4"/>
        <v>1</v>
      </c>
      <c r="L102" s="1">
        <f t="shared" si="5"/>
        <v>1</v>
      </c>
      <c r="M102" s="1">
        <f t="shared" si="6"/>
        <v>1</v>
      </c>
      <c r="N102" s="1">
        <f t="shared" si="7"/>
        <v>1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>
      <c r="A103" s="1" t="s">
        <v>34</v>
      </c>
      <c r="B103" s="1" t="s">
        <v>32</v>
      </c>
      <c r="C103" s="1" t="s">
        <v>40</v>
      </c>
      <c r="D103" s="1">
        <v>8037</v>
      </c>
      <c r="E103" s="1">
        <v>186</v>
      </c>
      <c r="F103" s="1">
        <v>10</v>
      </c>
      <c r="G103" s="1">
        <v>2561</v>
      </c>
      <c r="H103" s="1">
        <v>56</v>
      </c>
      <c r="I103" s="1">
        <v>52</v>
      </c>
      <c r="J103" s="1" t="s">
        <v>132</v>
      </c>
      <c r="K103" s="1">
        <f t="shared" si="4"/>
        <v>0.959686450167973</v>
      </c>
      <c r="L103" s="1">
        <f t="shared" si="5"/>
        <v>0.151515151515152</v>
      </c>
      <c r="M103" s="1">
        <f t="shared" si="6"/>
        <v>0.161290322580645</v>
      </c>
      <c r="N103" s="1">
        <f t="shared" si="7"/>
        <v>0.980099502487562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>
      <c r="A104" s="1" t="s">
        <v>35</v>
      </c>
      <c r="B104" s="1" t="s">
        <v>30</v>
      </c>
      <c r="C104" s="1" t="s">
        <v>40</v>
      </c>
      <c r="D104" s="1">
        <v>8037</v>
      </c>
      <c r="E104" s="1">
        <v>186</v>
      </c>
      <c r="F104" s="1">
        <v>185</v>
      </c>
      <c r="G104" s="1">
        <v>7851</v>
      </c>
      <c r="H104" s="1">
        <v>0</v>
      </c>
      <c r="I104" s="1">
        <v>1</v>
      </c>
      <c r="J104" s="1" t="s">
        <v>133</v>
      </c>
      <c r="K104" s="1">
        <f t="shared" si="4"/>
        <v>0.999875575463481</v>
      </c>
      <c r="L104" s="1">
        <f t="shared" si="5"/>
        <v>1</v>
      </c>
      <c r="M104" s="1">
        <f t="shared" si="6"/>
        <v>0.994623655913978</v>
      </c>
      <c r="N104" s="1">
        <f t="shared" si="7"/>
        <v>0.999872643912379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>
      <c r="A105" s="1" t="s">
        <v>35</v>
      </c>
      <c r="B105" s="1" t="s">
        <v>32</v>
      </c>
      <c r="C105" s="1" t="s">
        <v>40</v>
      </c>
      <c r="D105" s="1">
        <v>8037</v>
      </c>
      <c r="E105" s="1">
        <v>186</v>
      </c>
      <c r="F105" s="1">
        <v>1</v>
      </c>
      <c r="G105" s="1">
        <v>2616</v>
      </c>
      <c r="H105" s="1">
        <v>1</v>
      </c>
      <c r="I105" s="1">
        <v>61</v>
      </c>
      <c r="J105" s="1" t="s">
        <v>111</v>
      </c>
      <c r="K105" s="1">
        <f t="shared" si="4"/>
        <v>0.97685703620754</v>
      </c>
      <c r="L105" s="1">
        <f t="shared" si="5"/>
        <v>0.5</v>
      </c>
      <c r="M105" s="1">
        <f t="shared" si="6"/>
        <v>0.0161290322580645</v>
      </c>
      <c r="N105" s="1">
        <f t="shared" si="7"/>
        <v>0.977213298468435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>
      <c r="A106" s="1" t="s">
        <v>36</v>
      </c>
      <c r="B106" s="1" t="s">
        <v>30</v>
      </c>
      <c r="C106" s="1" t="s">
        <v>40</v>
      </c>
      <c r="D106" s="1">
        <v>8037</v>
      </c>
      <c r="E106" s="1">
        <v>186</v>
      </c>
      <c r="F106" s="1">
        <v>23</v>
      </c>
      <c r="G106" s="1">
        <v>7845</v>
      </c>
      <c r="H106" s="1">
        <v>6</v>
      </c>
      <c r="I106" s="1">
        <v>163</v>
      </c>
      <c r="J106" s="1" t="s">
        <v>134</v>
      </c>
      <c r="K106" s="1">
        <f t="shared" si="4"/>
        <v>0.978972253328356</v>
      </c>
      <c r="L106" s="1">
        <f t="shared" si="5"/>
        <v>0.793103448275862</v>
      </c>
      <c r="M106" s="1">
        <f t="shared" si="6"/>
        <v>0.123655913978495</v>
      </c>
      <c r="N106" s="1">
        <f t="shared" si="7"/>
        <v>0.979645354645355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>
      <c r="A107" s="1" t="s">
        <v>36</v>
      </c>
      <c r="B107" s="1" t="s">
        <v>32</v>
      </c>
      <c r="C107" s="1" t="s">
        <v>40</v>
      </c>
      <c r="D107" s="1">
        <v>8037</v>
      </c>
      <c r="E107" s="1">
        <v>186</v>
      </c>
      <c r="F107" s="1">
        <v>1</v>
      </c>
      <c r="G107" s="1">
        <v>2608</v>
      </c>
      <c r="H107" s="1">
        <v>9</v>
      </c>
      <c r="I107" s="1">
        <v>61</v>
      </c>
      <c r="J107" s="1" t="s">
        <v>135</v>
      </c>
      <c r="K107" s="1">
        <f t="shared" si="4"/>
        <v>0.973870847331094</v>
      </c>
      <c r="L107" s="1">
        <f t="shared" si="5"/>
        <v>0.1</v>
      </c>
      <c r="M107" s="1">
        <f t="shared" si="6"/>
        <v>0.0161290322580645</v>
      </c>
      <c r="N107" s="1">
        <f t="shared" si="7"/>
        <v>0.977144998126639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>
      <c r="A108" s="1" t="s">
        <v>37</v>
      </c>
      <c r="B108" s="1" t="s">
        <v>30</v>
      </c>
      <c r="C108" s="1" t="s">
        <v>40</v>
      </c>
      <c r="D108" s="1">
        <v>8037</v>
      </c>
      <c r="E108" s="1">
        <v>186</v>
      </c>
      <c r="F108" s="1">
        <v>49</v>
      </c>
      <c r="G108" s="1">
        <v>7402</v>
      </c>
      <c r="H108" s="1">
        <v>449</v>
      </c>
      <c r="I108" s="1">
        <v>137</v>
      </c>
      <c r="J108" s="1" t="s">
        <v>136</v>
      </c>
      <c r="K108" s="1">
        <f t="shared" si="4"/>
        <v>0.927087221600099</v>
      </c>
      <c r="L108" s="1">
        <f t="shared" si="5"/>
        <v>0.0983935742971888</v>
      </c>
      <c r="M108" s="1">
        <f t="shared" si="6"/>
        <v>0.263440860215054</v>
      </c>
      <c r="N108" s="1">
        <f t="shared" si="7"/>
        <v>0.981827828624486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>
      <c r="A109" s="1" t="s">
        <v>37</v>
      </c>
      <c r="B109" s="1" t="s">
        <v>32</v>
      </c>
      <c r="C109" s="1" t="s">
        <v>40</v>
      </c>
      <c r="D109" s="1">
        <v>8037</v>
      </c>
      <c r="E109" s="1">
        <v>186</v>
      </c>
      <c r="F109" s="1">
        <v>14</v>
      </c>
      <c r="G109" s="1">
        <v>2439</v>
      </c>
      <c r="H109" s="1">
        <v>178</v>
      </c>
      <c r="I109" s="1">
        <v>48</v>
      </c>
      <c r="J109" s="1" t="s">
        <v>137</v>
      </c>
      <c r="K109" s="1">
        <f t="shared" si="4"/>
        <v>0.915640164240388</v>
      </c>
      <c r="L109" s="1">
        <f t="shared" si="5"/>
        <v>0.0729166666666667</v>
      </c>
      <c r="M109" s="1">
        <f t="shared" si="6"/>
        <v>0.225806451612903</v>
      </c>
      <c r="N109" s="1">
        <f t="shared" si="7"/>
        <v>0.980699638118215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>
      <c r="A110" s="1" t="s">
        <v>38</v>
      </c>
      <c r="B110" s="1" t="s">
        <v>30</v>
      </c>
      <c r="C110" s="1" t="s">
        <v>40</v>
      </c>
      <c r="D110" s="1">
        <v>8037</v>
      </c>
      <c r="E110" s="1">
        <v>186</v>
      </c>
      <c r="F110" s="1">
        <v>0</v>
      </c>
      <c r="G110" s="1">
        <v>7851</v>
      </c>
      <c r="H110" s="1">
        <v>0</v>
      </c>
      <c r="I110" s="1">
        <v>186</v>
      </c>
      <c r="J110" s="1" t="s">
        <v>116</v>
      </c>
      <c r="K110" s="1">
        <f t="shared" si="4"/>
        <v>0.97685703620754</v>
      </c>
      <c r="L110" s="1">
        <f t="shared" si="5"/>
        <v>0</v>
      </c>
      <c r="M110" s="1">
        <f t="shared" si="6"/>
        <v>0</v>
      </c>
      <c r="N110" s="1">
        <f t="shared" si="7"/>
        <v>0.97685703620754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>
      <c r="A111" s="1" t="s">
        <v>38</v>
      </c>
      <c r="B111" s="1" t="s">
        <v>32</v>
      </c>
      <c r="C111" s="1" t="s">
        <v>40</v>
      </c>
      <c r="D111" s="1">
        <v>8037</v>
      </c>
      <c r="E111" s="1">
        <v>186</v>
      </c>
      <c r="F111" s="1">
        <v>0</v>
      </c>
      <c r="G111" s="1">
        <v>2617</v>
      </c>
      <c r="H111" s="1">
        <v>0</v>
      </c>
      <c r="I111" s="1">
        <v>62</v>
      </c>
      <c r="J111" s="1" t="s">
        <v>116</v>
      </c>
      <c r="K111" s="1">
        <f t="shared" si="4"/>
        <v>0.97685703620754</v>
      </c>
      <c r="L111" s="1">
        <f t="shared" si="5"/>
        <v>0</v>
      </c>
      <c r="M111" s="1">
        <f t="shared" si="6"/>
        <v>0</v>
      </c>
      <c r="N111" s="1">
        <f t="shared" si="7"/>
        <v>0.97685703620754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>
      <c r="A112" s="1" t="s">
        <v>39</v>
      </c>
      <c r="B112" s="1" t="s">
        <v>30</v>
      </c>
      <c r="C112" s="1" t="s">
        <v>40</v>
      </c>
      <c r="D112" s="1">
        <v>8037</v>
      </c>
      <c r="E112" s="1">
        <v>186</v>
      </c>
      <c r="F112" s="1">
        <v>168</v>
      </c>
      <c r="G112" s="1">
        <v>7841</v>
      </c>
      <c r="H112" s="1">
        <v>10</v>
      </c>
      <c r="I112" s="1">
        <v>18</v>
      </c>
      <c r="J112" s="1" t="s">
        <v>138</v>
      </c>
      <c r="K112" s="1">
        <f t="shared" si="4"/>
        <v>0.996516112977479</v>
      </c>
      <c r="L112" s="1">
        <f t="shared" si="5"/>
        <v>0.943820224719101</v>
      </c>
      <c r="M112" s="1">
        <f t="shared" si="6"/>
        <v>0.903225806451613</v>
      </c>
      <c r="N112" s="1">
        <f t="shared" si="7"/>
        <v>0.997709632268736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>
      <c r="A113" s="1" t="s">
        <v>39</v>
      </c>
      <c r="B113" s="1" t="s">
        <v>32</v>
      </c>
      <c r="C113" s="1" t="s">
        <v>40</v>
      </c>
      <c r="D113" s="1">
        <v>8037</v>
      </c>
      <c r="E113" s="1">
        <v>186</v>
      </c>
      <c r="F113" s="1">
        <v>22</v>
      </c>
      <c r="G113" s="1">
        <v>2590</v>
      </c>
      <c r="H113" s="1">
        <v>27</v>
      </c>
      <c r="I113" s="1">
        <v>40</v>
      </c>
      <c r="J113" s="1" t="s">
        <v>139</v>
      </c>
      <c r="K113" s="1">
        <f t="shared" si="4"/>
        <v>0.974990668159761</v>
      </c>
      <c r="L113" s="1">
        <f t="shared" si="5"/>
        <v>0.448979591836735</v>
      </c>
      <c r="M113" s="1">
        <f t="shared" si="6"/>
        <v>0.354838709677419</v>
      </c>
      <c r="N113" s="1">
        <f t="shared" si="7"/>
        <v>0.984790874524715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>
      <c r="A114" s="1" t="s">
        <v>29</v>
      </c>
      <c r="B114" s="1" t="s">
        <v>30</v>
      </c>
      <c r="C114" s="1" t="s">
        <v>40</v>
      </c>
      <c r="D114" s="1">
        <v>8037</v>
      </c>
      <c r="E114" s="1">
        <v>186</v>
      </c>
      <c r="F114" s="1">
        <v>8</v>
      </c>
      <c r="G114" s="1">
        <v>7773</v>
      </c>
      <c r="H114" s="1">
        <v>78</v>
      </c>
      <c r="I114" s="1">
        <v>178</v>
      </c>
      <c r="J114" s="1" t="s">
        <v>140</v>
      </c>
      <c r="K114" s="1">
        <f t="shared" si="4"/>
        <v>0.968147318651238</v>
      </c>
      <c r="L114" s="1">
        <f t="shared" si="5"/>
        <v>0.0930232558139535</v>
      </c>
      <c r="M114" s="1">
        <f t="shared" si="6"/>
        <v>0.043010752688172</v>
      </c>
      <c r="N114" s="1">
        <f t="shared" si="7"/>
        <v>0.977612878883159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>
      <c r="A115" s="1" t="s">
        <v>29</v>
      </c>
      <c r="B115" s="1" t="s">
        <v>32</v>
      </c>
      <c r="C115" s="1" t="s">
        <v>40</v>
      </c>
      <c r="D115" s="1">
        <v>8037</v>
      </c>
      <c r="E115" s="1">
        <v>186</v>
      </c>
      <c r="F115" s="1">
        <v>4</v>
      </c>
      <c r="G115" s="1">
        <v>2605</v>
      </c>
      <c r="H115" s="1">
        <v>12</v>
      </c>
      <c r="I115" s="1">
        <v>58</v>
      </c>
      <c r="J115" s="1" t="s">
        <v>141</v>
      </c>
      <c r="K115" s="1">
        <f t="shared" si="4"/>
        <v>0.973870847331094</v>
      </c>
      <c r="L115" s="1">
        <f t="shared" si="5"/>
        <v>0.25</v>
      </c>
      <c r="M115" s="1">
        <f t="shared" si="6"/>
        <v>0.0645161290322581</v>
      </c>
      <c r="N115" s="1">
        <f t="shared" si="7"/>
        <v>0.978220052572287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>
      <c r="A116" s="1" t="s">
        <v>33</v>
      </c>
      <c r="B116" s="1" t="s">
        <v>30</v>
      </c>
      <c r="C116" s="1" t="s">
        <v>40</v>
      </c>
      <c r="D116" s="1">
        <v>8037</v>
      </c>
      <c r="E116" s="1">
        <v>186</v>
      </c>
      <c r="F116" s="1">
        <v>1</v>
      </c>
      <c r="G116" s="1">
        <v>7851</v>
      </c>
      <c r="H116" s="1">
        <v>0</v>
      </c>
      <c r="I116" s="1">
        <v>185</v>
      </c>
      <c r="J116" s="1" t="s">
        <v>108</v>
      </c>
      <c r="K116" s="1">
        <f t="shared" si="4"/>
        <v>0.976981460744059</v>
      </c>
      <c r="L116" s="1">
        <f t="shared" si="5"/>
        <v>1</v>
      </c>
      <c r="M116" s="1">
        <f t="shared" si="6"/>
        <v>0.00537634408602151</v>
      </c>
      <c r="N116" s="1">
        <f t="shared" si="7"/>
        <v>0.976978596316575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>
      <c r="A117" s="1" t="s">
        <v>33</v>
      </c>
      <c r="B117" s="1" t="s">
        <v>32</v>
      </c>
      <c r="C117" s="1" t="s">
        <v>40</v>
      </c>
      <c r="D117" s="1">
        <v>8037</v>
      </c>
      <c r="E117" s="1">
        <v>186</v>
      </c>
      <c r="F117" s="1">
        <v>0</v>
      </c>
      <c r="G117" s="1">
        <v>2617</v>
      </c>
      <c r="H117" s="1">
        <v>0</v>
      </c>
      <c r="I117" s="1">
        <v>62</v>
      </c>
      <c r="J117" s="1" t="s">
        <v>116</v>
      </c>
      <c r="K117" s="1">
        <f t="shared" si="4"/>
        <v>0.97685703620754</v>
      </c>
      <c r="L117" s="1">
        <f t="shared" si="5"/>
        <v>0</v>
      </c>
      <c r="M117" s="1">
        <f t="shared" si="6"/>
        <v>0</v>
      </c>
      <c r="N117" s="1">
        <f t="shared" si="7"/>
        <v>0.97685703620754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>
      <c r="A118" s="1" t="s">
        <v>34</v>
      </c>
      <c r="B118" s="1" t="s">
        <v>30</v>
      </c>
      <c r="C118" s="1" t="s">
        <v>40</v>
      </c>
      <c r="D118" s="1">
        <v>8037</v>
      </c>
      <c r="E118" s="1">
        <v>186</v>
      </c>
      <c r="F118" s="1">
        <v>186</v>
      </c>
      <c r="G118" s="1">
        <v>7851</v>
      </c>
      <c r="H118" s="1">
        <v>0</v>
      </c>
      <c r="I118" s="1">
        <v>0</v>
      </c>
      <c r="J118" s="1" t="s">
        <v>54</v>
      </c>
      <c r="K118" s="1">
        <f t="shared" si="4"/>
        <v>1</v>
      </c>
      <c r="L118" s="1">
        <f t="shared" si="5"/>
        <v>1</v>
      </c>
      <c r="M118" s="1">
        <f t="shared" si="6"/>
        <v>1</v>
      </c>
      <c r="N118" s="1">
        <f t="shared" si="7"/>
        <v>1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>
      <c r="A119" s="1" t="s">
        <v>34</v>
      </c>
      <c r="B119" s="1" t="s">
        <v>32</v>
      </c>
      <c r="C119" s="1" t="s">
        <v>40</v>
      </c>
      <c r="D119" s="1">
        <v>8037</v>
      </c>
      <c r="E119" s="1">
        <v>186</v>
      </c>
      <c r="F119" s="1">
        <v>4</v>
      </c>
      <c r="G119" s="1">
        <v>2563</v>
      </c>
      <c r="H119" s="1">
        <v>54</v>
      </c>
      <c r="I119" s="1">
        <v>58</v>
      </c>
      <c r="J119" s="1" t="s">
        <v>142</v>
      </c>
      <c r="K119" s="1">
        <f t="shared" si="4"/>
        <v>0.95819335572975</v>
      </c>
      <c r="L119" s="1">
        <f t="shared" si="5"/>
        <v>0.0689655172413793</v>
      </c>
      <c r="M119" s="1">
        <f t="shared" si="6"/>
        <v>0.0645161290322581</v>
      </c>
      <c r="N119" s="1">
        <f t="shared" si="7"/>
        <v>0.97787104158718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>
      <c r="A120" s="1" t="s">
        <v>35</v>
      </c>
      <c r="B120" s="1" t="s">
        <v>30</v>
      </c>
      <c r="C120" s="1" t="s">
        <v>40</v>
      </c>
      <c r="D120" s="1">
        <v>8037</v>
      </c>
      <c r="E120" s="1">
        <v>186</v>
      </c>
      <c r="F120" s="1">
        <v>186</v>
      </c>
      <c r="G120" s="1">
        <v>7851</v>
      </c>
      <c r="H120" s="1">
        <v>0</v>
      </c>
      <c r="I120" s="1">
        <v>0</v>
      </c>
      <c r="J120" s="1" t="s">
        <v>54</v>
      </c>
      <c r="K120" s="1">
        <f t="shared" si="4"/>
        <v>1</v>
      </c>
      <c r="L120" s="1">
        <f t="shared" si="5"/>
        <v>1</v>
      </c>
      <c r="M120" s="1">
        <f t="shared" si="6"/>
        <v>1</v>
      </c>
      <c r="N120" s="1">
        <f t="shared" si="7"/>
        <v>1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>
      <c r="A121" s="1" t="s">
        <v>35</v>
      </c>
      <c r="B121" s="1" t="s">
        <v>32</v>
      </c>
      <c r="C121" s="1" t="s">
        <v>40</v>
      </c>
      <c r="D121" s="1">
        <v>8037</v>
      </c>
      <c r="E121" s="1">
        <v>186</v>
      </c>
      <c r="F121" s="1">
        <v>1</v>
      </c>
      <c r="G121" s="1">
        <v>2617</v>
      </c>
      <c r="H121" s="1">
        <v>0</v>
      </c>
      <c r="I121" s="1">
        <v>61</v>
      </c>
      <c r="J121" s="1" t="s">
        <v>143</v>
      </c>
      <c r="K121" s="1">
        <f t="shared" si="4"/>
        <v>0.977230309817096</v>
      </c>
      <c r="L121" s="1">
        <f t="shared" si="5"/>
        <v>1</v>
      </c>
      <c r="M121" s="1">
        <f t="shared" si="6"/>
        <v>0.0161290322580645</v>
      </c>
      <c r="N121" s="1">
        <f t="shared" si="7"/>
        <v>0.977221807318895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>
      <c r="A122" s="1" t="s">
        <v>36</v>
      </c>
      <c r="B122" s="1" t="s">
        <v>30</v>
      </c>
      <c r="C122" s="1" t="s">
        <v>40</v>
      </c>
      <c r="D122" s="1">
        <v>8037</v>
      </c>
      <c r="E122" s="1">
        <v>186</v>
      </c>
      <c r="F122" s="1">
        <v>19</v>
      </c>
      <c r="G122" s="1">
        <v>7842</v>
      </c>
      <c r="H122" s="1">
        <v>9</v>
      </c>
      <c r="I122" s="1">
        <v>167</v>
      </c>
      <c r="J122" s="1" t="s">
        <v>144</v>
      </c>
      <c r="K122" s="1">
        <f t="shared" si="4"/>
        <v>0.978101281572726</v>
      </c>
      <c r="L122" s="1">
        <f t="shared" si="5"/>
        <v>0.678571428571429</v>
      </c>
      <c r="M122" s="1">
        <f t="shared" si="6"/>
        <v>0.102150537634409</v>
      </c>
      <c r="N122" s="1">
        <f t="shared" si="7"/>
        <v>0.979148457984767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>
      <c r="A123" s="1" t="s">
        <v>36</v>
      </c>
      <c r="B123" s="1" t="s">
        <v>32</v>
      </c>
      <c r="C123" s="1" t="s">
        <v>40</v>
      </c>
      <c r="D123" s="1">
        <v>8037</v>
      </c>
      <c r="E123" s="1">
        <v>186</v>
      </c>
      <c r="F123" s="1">
        <v>5</v>
      </c>
      <c r="G123" s="1">
        <v>2615</v>
      </c>
      <c r="H123" s="1">
        <v>2</v>
      </c>
      <c r="I123" s="1">
        <v>57</v>
      </c>
      <c r="J123" s="1" t="s">
        <v>145</v>
      </c>
      <c r="K123" s="1">
        <f t="shared" si="4"/>
        <v>0.977976857036208</v>
      </c>
      <c r="L123" s="1">
        <f t="shared" si="5"/>
        <v>0.714285714285714</v>
      </c>
      <c r="M123" s="1">
        <f t="shared" si="6"/>
        <v>0.0806451612903226</v>
      </c>
      <c r="N123" s="1">
        <f t="shared" si="7"/>
        <v>0.978667664670659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>
      <c r="A124" s="1" t="s">
        <v>37</v>
      </c>
      <c r="B124" s="1" t="s">
        <v>30</v>
      </c>
      <c r="C124" s="1" t="s">
        <v>40</v>
      </c>
      <c r="D124" s="1">
        <v>8037</v>
      </c>
      <c r="E124" s="1">
        <v>186</v>
      </c>
      <c r="F124" s="1">
        <v>46</v>
      </c>
      <c r="G124" s="1">
        <v>7406</v>
      </c>
      <c r="H124" s="1">
        <v>445</v>
      </c>
      <c r="I124" s="1">
        <v>140</v>
      </c>
      <c r="J124" s="1" t="s">
        <v>146</v>
      </c>
      <c r="K124" s="1">
        <f t="shared" si="4"/>
        <v>0.927211646136618</v>
      </c>
      <c r="L124" s="1">
        <f t="shared" si="5"/>
        <v>0.0936863543788187</v>
      </c>
      <c r="M124" s="1">
        <f t="shared" si="6"/>
        <v>0.247311827956989</v>
      </c>
      <c r="N124" s="1">
        <f t="shared" si="7"/>
        <v>0.981447124304267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>
      <c r="A125" s="1" t="s">
        <v>37</v>
      </c>
      <c r="B125" s="1" t="s">
        <v>32</v>
      </c>
      <c r="C125" s="1" t="s">
        <v>40</v>
      </c>
      <c r="D125" s="1">
        <v>8037</v>
      </c>
      <c r="E125" s="1">
        <v>186</v>
      </c>
      <c r="F125" s="1">
        <v>14</v>
      </c>
      <c r="G125" s="1">
        <v>2469</v>
      </c>
      <c r="H125" s="1">
        <v>148</v>
      </c>
      <c r="I125" s="1">
        <v>48</v>
      </c>
      <c r="J125" s="1" t="s">
        <v>147</v>
      </c>
      <c r="K125" s="1">
        <f t="shared" si="4"/>
        <v>0.926838372527062</v>
      </c>
      <c r="L125" s="1">
        <f t="shared" si="5"/>
        <v>0.0864197530864197</v>
      </c>
      <c r="M125" s="1">
        <f t="shared" si="6"/>
        <v>0.225806451612903</v>
      </c>
      <c r="N125" s="1">
        <f t="shared" si="7"/>
        <v>0.980929678188319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>
      <c r="A126" s="1" t="s">
        <v>38</v>
      </c>
      <c r="B126" s="1" t="s">
        <v>30</v>
      </c>
      <c r="C126" s="1" t="s">
        <v>40</v>
      </c>
      <c r="D126" s="1">
        <v>8037</v>
      </c>
      <c r="E126" s="1">
        <v>186</v>
      </c>
      <c r="F126" s="1">
        <v>0</v>
      </c>
      <c r="G126" s="1">
        <v>7851</v>
      </c>
      <c r="H126" s="1">
        <v>0</v>
      </c>
      <c r="I126" s="1">
        <v>186</v>
      </c>
      <c r="J126" s="1" t="s">
        <v>116</v>
      </c>
      <c r="K126" s="1">
        <f t="shared" si="4"/>
        <v>0.97685703620754</v>
      </c>
      <c r="L126" s="1">
        <f t="shared" si="5"/>
        <v>0</v>
      </c>
      <c r="M126" s="1">
        <f t="shared" si="6"/>
        <v>0</v>
      </c>
      <c r="N126" s="1">
        <f t="shared" si="7"/>
        <v>0.97685703620754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>
      <c r="A127" s="1" t="s">
        <v>38</v>
      </c>
      <c r="B127" s="1" t="s">
        <v>32</v>
      </c>
      <c r="C127" s="1" t="s">
        <v>40</v>
      </c>
      <c r="D127" s="1">
        <v>8037</v>
      </c>
      <c r="E127" s="1">
        <v>186</v>
      </c>
      <c r="F127" s="1">
        <v>0</v>
      </c>
      <c r="G127" s="1">
        <v>2617</v>
      </c>
      <c r="H127" s="1">
        <v>0</v>
      </c>
      <c r="I127" s="1">
        <v>62</v>
      </c>
      <c r="J127" s="1" t="s">
        <v>116</v>
      </c>
      <c r="K127" s="1">
        <f t="shared" si="4"/>
        <v>0.97685703620754</v>
      </c>
      <c r="L127" s="1">
        <f t="shared" si="5"/>
        <v>0</v>
      </c>
      <c r="M127" s="1">
        <f t="shared" si="6"/>
        <v>0</v>
      </c>
      <c r="N127" s="1">
        <f t="shared" si="7"/>
        <v>0.97685703620754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>
      <c r="A128" s="1" t="s">
        <v>39</v>
      </c>
      <c r="B128" s="1" t="s">
        <v>30</v>
      </c>
      <c r="C128" s="1" t="s">
        <v>40</v>
      </c>
      <c r="D128" s="1">
        <v>8037</v>
      </c>
      <c r="E128" s="1">
        <v>186</v>
      </c>
      <c r="F128" s="1">
        <v>180</v>
      </c>
      <c r="G128" s="1">
        <v>7848</v>
      </c>
      <c r="H128" s="1">
        <v>3</v>
      </c>
      <c r="I128" s="1">
        <v>6</v>
      </c>
      <c r="J128" s="1" t="s">
        <v>148</v>
      </c>
      <c r="K128" s="1">
        <f t="shared" si="4"/>
        <v>0.998880179171333</v>
      </c>
      <c r="L128" s="1">
        <f t="shared" si="5"/>
        <v>0.983606557377049</v>
      </c>
      <c r="M128" s="1">
        <f t="shared" si="6"/>
        <v>0.967741935483871</v>
      </c>
      <c r="N128" s="1">
        <f t="shared" si="7"/>
        <v>0.999236058059587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>
      <c r="A129" s="1" t="s">
        <v>39</v>
      </c>
      <c r="B129" s="1" t="s">
        <v>32</v>
      </c>
      <c r="C129" s="1" t="s">
        <v>40</v>
      </c>
      <c r="D129" s="1">
        <v>8037</v>
      </c>
      <c r="E129" s="1">
        <v>186</v>
      </c>
      <c r="F129" s="1">
        <v>30</v>
      </c>
      <c r="G129" s="1">
        <v>2600</v>
      </c>
      <c r="H129" s="1">
        <v>17</v>
      </c>
      <c r="I129" s="1">
        <v>32</v>
      </c>
      <c r="J129" s="1" t="s">
        <v>149</v>
      </c>
      <c r="K129" s="1">
        <f t="shared" si="4"/>
        <v>0.981709593131766</v>
      </c>
      <c r="L129" s="1">
        <f t="shared" si="5"/>
        <v>0.638297872340426</v>
      </c>
      <c r="M129" s="1">
        <f t="shared" si="6"/>
        <v>0.483870967741935</v>
      </c>
      <c r="N129" s="1">
        <f t="shared" si="7"/>
        <v>0.987841945288754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bothDataOutcomes</vt:lpstr>
      <vt:lpstr>Recall</vt:lpstr>
      <vt:lpstr>Precision</vt:lpstr>
      <vt:lpstr>ROC-AUC</vt:lpstr>
      <vt:lpstr>Sheet2</vt:lpstr>
      <vt:lpstr>F1-Score</vt:lpstr>
      <vt:lpstr>Accuracy</vt:lpstr>
      <vt:lpstr>Informedness</vt:lpstr>
      <vt:lpstr>Balance Performance</vt:lpstr>
      <vt:lpstr>Sheet10</vt:lpstr>
      <vt:lpstr>Threshold2-Recall-Specificity</vt:lpstr>
      <vt:lpstr>Threshold2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</cp:lastModifiedBy>
  <dcterms:created xsi:type="dcterms:W3CDTF">2023-11-20T18:20:00Z</dcterms:created>
  <dcterms:modified xsi:type="dcterms:W3CDTF">2023-11-26T20:26:17Z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1A63FCE5A5CF4E1B960CA4F6914F00EF</vt:lpwstr>
  </property>
  <property fmtid="{D5CDD505-2E9C-101B-9397-08002B2CF9AE}" pid="3" name="KSOProductBuildVer">
    <vt:lpwstr>1033-11.2.0.11225</vt:lpwstr>
  </property>
</Properties>
</file>